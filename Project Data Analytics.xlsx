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7DDAF52-41E9-4F5B-848D-EED043188670}" xr6:coauthVersionLast="47" xr6:coauthVersionMax="47" xr10:uidLastSave="{00000000-0000-0000-0000-000000000000}"/>
  <bookViews>
    <workbookView xWindow="8715" yWindow="1350" windowWidth="16710" windowHeight="14580" tabRatio="781" firstSheet="2" activeTab="11" xr2:uid="{00000000-000D-0000-FFFF-FFFF00000000}"/>
  </bookViews>
  <sheets>
    <sheet name="Task 2" sheetId="3" r:id="rId1"/>
    <sheet name="Task 3" sheetId="7" r:id="rId2"/>
    <sheet name="Task 4" sheetId="4" r:id="rId3"/>
    <sheet name="Task 6" sheetId="5" r:id="rId4"/>
    <sheet name="Task 7" sheetId="8" r:id="rId5"/>
    <sheet name="Task 8" sheetId="14" r:id="rId6"/>
    <sheet name="pivot table" sheetId="20" r:id="rId7"/>
    <sheet name="9" sheetId="13" r:id="rId8"/>
    <sheet name="10" sheetId="16" r:id="rId9"/>
    <sheet name="12" sheetId="17" r:id="rId10"/>
    <sheet name="13" sheetId="19" r:id="rId11"/>
    <sheet name="Hend" sheetId="22" r:id="rId12"/>
    <sheet name="Aya " sheetId="21" r:id="rId13"/>
  </sheets>
  <definedNames>
    <definedName name="_xlnm._FilterDatabase" localSheetId="7" hidden="1">'9'!$A$1:$O$561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5" i="22" l="1"/>
  <c r="E15" i="21"/>
  <c r="B20" i="22" a="1"/>
  <c r="B20" i="21" a="1"/>
  <c r="I6" i="19"/>
  <c r="I5" i="19"/>
  <c r="I26" i="17" a="1"/>
  <c r="I11" i="17" a="1"/>
  <c r="W8" i="17" a="1"/>
  <c r="K15" i="16"/>
  <c r="K10" i="16"/>
  <c r="K6" i="16"/>
  <c r="D16" i="14"/>
  <c r="C16" i="14"/>
  <c r="D6" i="14"/>
  <c r="D7" i="14"/>
  <c r="D8" i="14"/>
  <c r="D9" i="14"/>
  <c r="D10" i="14"/>
  <c r="D5" i="14"/>
  <c r="C6" i="14"/>
  <c r="C7" i="14"/>
  <c r="C8" i="14"/>
  <c r="C9" i="14"/>
  <c r="C10" i="14"/>
  <c r="C5" i="14"/>
  <c r="B6" i="14"/>
  <c r="B7" i="14"/>
  <c r="B8" i="14"/>
  <c r="B9" i="14"/>
  <c r="B10" i="14"/>
  <c r="B5" i="14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5" i="8"/>
  <c r="W10" i="5"/>
  <c r="V10" i="5"/>
  <c r="W9" i="5"/>
  <c r="V9" i="5"/>
  <c r="W8" i="5"/>
  <c r="V8" i="5"/>
  <c r="U10" i="5"/>
  <c r="U9" i="5"/>
  <c r="U8" i="5"/>
  <c r="P11" i="5"/>
  <c r="P10" i="5"/>
  <c r="P9" i="5"/>
  <c r="O11" i="5"/>
  <c r="O10" i="5"/>
  <c r="O9" i="5"/>
  <c r="N11" i="5"/>
  <c r="N10" i="5"/>
  <c r="N9" i="5"/>
  <c r="J9" i="4"/>
  <c r="J8" i="4"/>
  <c r="J7" i="4"/>
  <c r="J6" i="4"/>
  <c r="J5" i="7"/>
  <c r="J4" i="7"/>
  <c r="F24" i="3"/>
  <c r="E10" i="21" l="1"/>
  <c r="E5" i="21"/>
  <c r="E5" i="22"/>
  <c r="E10" i="22"/>
  <c r="F16" i="3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31" i="3"/>
  <c r="F10" i="3"/>
  <c r="F35" i="3"/>
  <c r="F34" i="3"/>
  <c r="F33" i="3"/>
  <c r="F32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5" i="3"/>
  <c r="F14" i="3"/>
  <c r="F13" i="3"/>
  <c r="F12" i="3"/>
  <c r="F11" i="3"/>
  <c r="F9" i="3"/>
  <c r="F8" i="3"/>
  <c r="F7" i="3"/>
  <c r="F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<sst xmlns="http://schemas.openxmlformats.org/spreadsheetml/2006/main" count="3053" uniqueCount="902">
  <si>
    <t>Sales Report</t>
  </si>
  <si>
    <t>Order Date</t>
  </si>
  <si>
    <t>Sales Agent Name</t>
  </si>
  <si>
    <t>Ahmed</t>
  </si>
  <si>
    <t>Hossam</t>
  </si>
  <si>
    <t>Abdullah</t>
  </si>
  <si>
    <t>Mona</t>
  </si>
  <si>
    <t>Farida</t>
  </si>
  <si>
    <t>Ali</t>
  </si>
  <si>
    <t>Car Type</t>
  </si>
  <si>
    <t>Toyota</t>
  </si>
  <si>
    <t>Car price</t>
  </si>
  <si>
    <t>Volkswagen</t>
  </si>
  <si>
    <t>BMW</t>
  </si>
  <si>
    <t>Kia</t>
  </si>
  <si>
    <t>Jeep</t>
  </si>
  <si>
    <t>Mazda</t>
  </si>
  <si>
    <t>Count</t>
  </si>
  <si>
    <t>Total Sales</t>
  </si>
  <si>
    <t>Please change the color of the highest and lowest order amount</t>
  </si>
  <si>
    <t>Total</t>
  </si>
  <si>
    <t>Total Sales Amount</t>
  </si>
  <si>
    <t>Total Sold Cars</t>
  </si>
  <si>
    <t>Item</t>
  </si>
  <si>
    <t>Amount</t>
  </si>
  <si>
    <t>Average order Amount</t>
  </si>
  <si>
    <t>Count of orders</t>
  </si>
  <si>
    <t>Sales Person</t>
  </si>
  <si>
    <t>t</t>
  </si>
  <si>
    <t>Please find the best sales person according to his sales amount</t>
  </si>
  <si>
    <t>Jan</t>
  </si>
  <si>
    <t>Feb</t>
  </si>
  <si>
    <t>Mar</t>
  </si>
  <si>
    <t>Apr</t>
  </si>
  <si>
    <t>May</t>
  </si>
  <si>
    <t>Jun</t>
  </si>
  <si>
    <t>Sales Report per Thousand</t>
  </si>
  <si>
    <t>Please prepare a report for each one of sales persons results</t>
  </si>
  <si>
    <t>Tamer</t>
  </si>
  <si>
    <t>Othman</t>
  </si>
  <si>
    <t>The lowest Sales Amount</t>
  </si>
  <si>
    <t>Please highlight the by green all the results that more than J3 Amount and by red any results below this number</t>
  </si>
  <si>
    <t>Please find the highest and the lowest results</t>
  </si>
  <si>
    <t>Hand</t>
  </si>
  <si>
    <t>Target</t>
  </si>
  <si>
    <t>The highest result</t>
  </si>
  <si>
    <t>Please fill the yellow cells by the related equation</t>
  </si>
  <si>
    <t>Price</t>
  </si>
  <si>
    <t>Please list the car prices for each order and calculate the full order amount</t>
  </si>
  <si>
    <t>Call</t>
  </si>
  <si>
    <t>Email</t>
  </si>
  <si>
    <t>Please  prepare a new bill for your order</t>
  </si>
  <si>
    <t>Activity Date</t>
  </si>
  <si>
    <t>Agent Name</t>
  </si>
  <si>
    <t>Agent Code</t>
  </si>
  <si>
    <t>SMS</t>
  </si>
  <si>
    <t>Won Deals</t>
  </si>
  <si>
    <t>Lost Deals</t>
  </si>
  <si>
    <t>Follow Up</t>
  </si>
  <si>
    <t>Total leads</t>
  </si>
  <si>
    <t>Answered - Call Status</t>
  </si>
  <si>
    <t>No answer - Call Status</t>
  </si>
  <si>
    <t>Closed mobile - Call Status</t>
  </si>
  <si>
    <t>Canceled - Call Status</t>
  </si>
  <si>
    <t>Wrong number - Call Status</t>
  </si>
  <si>
    <t>Mohamed</t>
  </si>
  <si>
    <t>Emad</t>
  </si>
  <si>
    <t>Aya</t>
  </si>
  <si>
    <t>Ragy</t>
  </si>
  <si>
    <t>Hend</t>
  </si>
  <si>
    <t>Waled</t>
  </si>
  <si>
    <t>Heba</t>
  </si>
  <si>
    <t>Nada</t>
  </si>
  <si>
    <t>Gomaa</t>
  </si>
  <si>
    <t>Sara</t>
  </si>
  <si>
    <t>Eman</t>
  </si>
  <si>
    <t>Essam</t>
  </si>
  <si>
    <t>Khalaf</t>
  </si>
  <si>
    <t>Shenawy</t>
  </si>
  <si>
    <t>Taha</t>
  </si>
  <si>
    <t>Mostafa</t>
  </si>
  <si>
    <t>Abd El Rahman</t>
  </si>
  <si>
    <t>Using Pivot Table</t>
  </si>
  <si>
    <t>Breakdown of activity</t>
  </si>
  <si>
    <t>Breakdown of deals status</t>
  </si>
  <si>
    <t>Are their any activity happened on the weekend ? If yes please show it</t>
  </si>
  <si>
    <t xml:space="preserve">Use data table to Build Weekly &amp; Monthly Tables that to present the below points by Employee </t>
  </si>
  <si>
    <t>Result</t>
  </si>
  <si>
    <t>Month</t>
  </si>
  <si>
    <t>MATCH - INDEX</t>
  </si>
  <si>
    <t>FILTER</t>
  </si>
  <si>
    <t>Sub-Category</t>
  </si>
  <si>
    <t>Product Name</t>
  </si>
  <si>
    <t>Sales Price</t>
  </si>
  <si>
    <t>Bookcases</t>
  </si>
  <si>
    <t>Bush Somerset Collection Bookcase</t>
  </si>
  <si>
    <t>Chairs</t>
  </si>
  <si>
    <t>Hon Deluxe Fabric Upholstered Stacking Chairs, Rounded Back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</si>
  <si>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</si>
  <si>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</si>
  <si>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</si>
  <si>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</si>
  <si>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</si>
  <si>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</si>
  <si>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</si>
  <si>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</si>
  <si>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</si>
  <si>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</si>
  <si>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</si>
  <si>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</si>
  <si>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</si>
  <si>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</si>
  <si>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</si>
  <si>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</si>
  <si>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</si>
  <si>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</si>
  <si>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</si>
  <si>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</si>
  <si>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</si>
  <si>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</si>
  <si>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</si>
  <si>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</si>
  <si>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</si>
  <si>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</si>
  <si>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</si>
  <si>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</si>
  <si>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</si>
  <si>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</si>
  <si>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</si>
  <si>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</si>
  <si>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</si>
  <si>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</si>
  <si>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</si>
  <si>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</si>
  <si>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</si>
  <si>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</si>
  <si>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</si>
  <si>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</si>
  <si>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</si>
  <si>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</si>
  <si>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</si>
  <si>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</si>
  <si>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</si>
  <si>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</si>
  <si>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</si>
  <si>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</si>
  <si>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</si>
  <si>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</si>
  <si>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</si>
  <si>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</si>
  <si>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</si>
  <si>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</si>
  <si>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</si>
  <si>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</si>
  <si>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</si>
  <si>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</si>
  <si>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</si>
  <si>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</si>
  <si>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</si>
  <si>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</si>
  <si>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</si>
  <si>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</si>
  <si>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</si>
  <si>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</si>
  <si>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</si>
  <si>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</si>
  <si>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</si>
  <si>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</si>
  <si>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</si>
  <si>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</si>
  <si>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</si>
  <si>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</si>
  <si>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</si>
  <si>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</si>
  <si>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</si>
  <si>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</si>
  <si>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</si>
  <si>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</si>
  <si>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</si>
  <si>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</si>
  <si>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</si>
  <si>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</si>
  <si>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</si>
  <si>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</si>
  <si>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</si>
  <si>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</si>
  <si>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</si>
  <si>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</si>
  <si>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</si>
  <si>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</si>
  <si>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</si>
  <si>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</si>
  <si>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</si>
  <si>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</si>
  <si>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</si>
  <si>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</si>
  <si>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</si>
  <si>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</si>
  <si>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</si>
  <si>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</si>
  <si>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</si>
  <si>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</si>
  <si>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</si>
  <si>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</si>
  <si>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</si>
  <si>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</si>
  <si>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</si>
  <si>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</si>
  <si>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</si>
  <si>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</si>
  <si>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</si>
  <si>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</si>
  <si>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</si>
  <si>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</si>
  <si>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</si>
  <si>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</si>
  <si>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</si>
  <si>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</si>
  <si>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</si>
  <si>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</si>
  <si>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</si>
  <si>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</si>
  <si>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</si>
  <si>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</si>
  <si>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</si>
  <si>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</si>
  <si>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</si>
  <si>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</si>
  <si>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</si>
  <si>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</si>
  <si>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</si>
  <si>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</si>
  <si>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</si>
  <si>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</si>
  <si>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</si>
  <si>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</si>
  <si>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</si>
  <si>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</si>
  <si>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</si>
  <si>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</si>
  <si>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</si>
  <si>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</si>
  <si>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</si>
  <si>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</si>
  <si>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</si>
  <si>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</si>
  <si>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</si>
  <si>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</si>
  <si>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</si>
  <si>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</si>
  <si>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</si>
  <si>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</si>
  <si>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</si>
  <si>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</si>
  <si>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</si>
  <si>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</si>
  <si>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</si>
  <si>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</si>
  <si>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</si>
  <si>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</si>
  <si>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</si>
  <si>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</si>
  <si>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</si>
  <si>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</si>
  <si>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</si>
  <si>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</si>
  <si>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</si>
  <si>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</si>
  <si>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</si>
  <si>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</si>
  <si>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</si>
  <si>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</si>
  <si>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</si>
  <si>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</si>
  <si>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</si>
  <si>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</si>
  <si>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</si>
  <si>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</si>
  <si>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</si>
  <si>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</si>
  <si>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</si>
  <si>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</si>
  <si>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</si>
  <si>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</si>
  <si>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</si>
  <si>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</si>
  <si>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</si>
  <si>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</si>
  <si>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Atlantic Metals Mobile 3-Shelf Bookcases, Custom Colors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</si>
  <si>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</si>
  <si>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</si>
  <si>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</si>
  <si>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</si>
  <si>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</si>
  <si>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</si>
  <si>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</si>
  <si>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</si>
  <si>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</si>
  <si>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</si>
  <si>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</si>
  <si>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</si>
  <si>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</si>
  <si>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</si>
  <si>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</si>
  <si>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</si>
  <si>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</si>
  <si>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</si>
  <si>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</si>
  <si>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</si>
  <si>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</si>
  <si>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</si>
  <si>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</si>
  <si>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</si>
  <si>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</si>
  <si>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</si>
  <si>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</si>
  <si>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</si>
  <si>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</si>
  <si>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</si>
  <si>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</si>
  <si>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</si>
  <si>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</si>
  <si>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</si>
  <si>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</si>
  <si>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</si>
  <si>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</si>
  <si>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</si>
  <si>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</si>
  <si>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</si>
  <si>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</si>
  <si>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</si>
  <si>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</si>
  <si>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</si>
  <si>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</si>
  <si>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</si>
  <si>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</si>
  <si>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</si>
  <si>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</si>
  <si>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</si>
  <si>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</si>
  <si>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</si>
  <si>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</si>
  <si>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</si>
  <si>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</si>
  <si>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</si>
  <si>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</si>
  <si>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</si>
  <si>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</si>
  <si>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</si>
  <si>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</si>
  <si>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</si>
  <si>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</si>
  <si>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</si>
  <si>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</si>
  <si>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</si>
  <si>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</si>
  <si>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</si>
  <si>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</si>
  <si>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</si>
  <si>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</si>
  <si>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</si>
  <si>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</si>
  <si>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</si>
  <si>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</si>
  <si>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</si>
  <si>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</si>
  <si>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</si>
  <si>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</si>
  <si>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</si>
  <si>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</si>
  <si>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</si>
  <si>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</si>
  <si>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</si>
  <si>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</si>
  <si>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</si>
  <si>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</si>
  <si>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</si>
  <si>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</si>
  <si>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</si>
  <si>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</si>
  <si>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</si>
  <si>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</si>
  <si>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</si>
  <si>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</si>
  <si>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</si>
  <si>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</si>
  <si>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</si>
  <si>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</si>
  <si>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</si>
  <si>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</si>
  <si>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</si>
  <si>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</si>
  <si>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</si>
  <si>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</si>
  <si>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</si>
  <si>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</si>
  <si>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</si>
  <si>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</si>
  <si>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</si>
  <si>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</si>
  <si>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</si>
  <si>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</si>
  <si>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</si>
  <si>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</si>
  <si>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</si>
  <si>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</si>
  <si>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</si>
  <si>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</si>
  <si>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</si>
  <si>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</si>
  <si>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</si>
  <si>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</si>
  <si>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</si>
  <si>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</si>
  <si>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</si>
  <si>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</si>
  <si>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</si>
  <si>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</si>
  <si>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</si>
  <si>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</si>
  <si>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</si>
  <si>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</si>
  <si>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</si>
  <si>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</si>
  <si>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</si>
  <si>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</si>
  <si>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</si>
  <si>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</si>
  <si>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</si>
  <si>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</si>
  <si>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</si>
  <si>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</si>
  <si>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</si>
  <si>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</si>
  <si>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</si>
  <si>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</si>
  <si>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</si>
  <si>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</si>
  <si>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</si>
  <si>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</si>
  <si>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</si>
  <si>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</si>
  <si>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</si>
  <si>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</si>
  <si>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</si>
  <si>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</si>
  <si>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</si>
  <si>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</si>
  <si>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</si>
  <si>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</si>
  <si>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</si>
  <si>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</si>
  <si>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</si>
  <si>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</si>
  <si>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</si>
  <si>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</si>
  <si>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</si>
  <si>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</si>
  <si>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</si>
  <si>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</si>
  <si>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</si>
  <si>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</si>
  <si>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</si>
  <si>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</si>
  <si>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</si>
  <si>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</si>
  <si>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</si>
  <si>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</si>
  <si>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</si>
  <si>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</si>
  <si>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</si>
  <si>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</si>
  <si>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</si>
  <si>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</si>
  <si>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</si>
  <si>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</si>
  <si>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</si>
  <si>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</si>
  <si>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</si>
  <si>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</si>
  <si>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</si>
  <si>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</si>
  <si>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</si>
  <si>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</si>
  <si>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</si>
  <si>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</si>
  <si>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</si>
  <si>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</si>
  <si>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</si>
  <si>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</si>
  <si>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</si>
  <si>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</si>
  <si>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</si>
  <si>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</si>
  <si>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</si>
  <si>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</si>
  <si>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</si>
  <si>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</si>
  <si>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</si>
  <si>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</si>
  <si>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</si>
  <si>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</si>
  <si>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</si>
  <si>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</si>
  <si>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</si>
  <si>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</si>
  <si>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</si>
  <si>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</si>
  <si>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</si>
  <si>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</si>
  <si>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</si>
  <si>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</si>
  <si>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</si>
  <si>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</si>
  <si>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</si>
  <si>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</si>
  <si>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</si>
  <si>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</si>
  <si>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</si>
  <si>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</si>
  <si>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</si>
  <si>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</si>
  <si>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</si>
  <si>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</si>
  <si>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</si>
  <si>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</si>
  <si>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</si>
  <si>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</si>
  <si>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</si>
  <si>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</si>
  <si>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</si>
  <si>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</si>
  <si>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</si>
  <si>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</si>
  <si>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</si>
  <si>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</si>
  <si>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</si>
  <si>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</si>
  <si>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</si>
  <si>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</si>
  <si>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</si>
  <si>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</si>
  <si>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</si>
  <si>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</si>
  <si>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</si>
  <si>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</si>
  <si>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</si>
  <si>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</si>
  <si>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</si>
  <si>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</si>
  <si>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</si>
  <si>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</si>
  <si>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</si>
  <si>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</si>
  <si>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</si>
  <si>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</si>
  <si>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</si>
  <si>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</si>
  <si>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</si>
  <si>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</si>
  <si>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</si>
  <si>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</si>
  <si>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</si>
  <si>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</si>
  <si>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</si>
  <si>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</si>
  <si>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</si>
  <si>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</si>
  <si>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</si>
  <si>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</si>
  <si>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</si>
  <si>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</si>
  <si>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</si>
  <si>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</si>
  <si>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</si>
  <si>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</si>
  <si>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</si>
  <si>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</si>
  <si>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</si>
  <si>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</si>
  <si>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</si>
  <si>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</si>
  <si>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</si>
  <si>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</si>
  <si>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</si>
  <si>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</si>
  <si>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</si>
  <si>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</si>
  <si>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</si>
  <si>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</si>
  <si>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</si>
  <si>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</si>
  <si>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</si>
  <si>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</si>
  <si>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</si>
  <si>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</si>
  <si>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</si>
  <si>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</si>
  <si>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</si>
  <si>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</si>
  <si>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</si>
  <si>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</si>
  <si>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</si>
  <si>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</si>
  <si>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</si>
  <si>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</si>
  <si>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</si>
  <si>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</si>
  <si>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</si>
  <si>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</si>
  <si>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</si>
  <si>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</si>
  <si>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</si>
  <si>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</si>
  <si>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</si>
  <si>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</si>
  <si>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</si>
  <si>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</si>
  <si>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</si>
  <si>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</si>
  <si>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</si>
  <si>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</si>
  <si>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</si>
  <si>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</si>
  <si>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</si>
  <si>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</si>
  <si>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</si>
  <si>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</si>
  <si>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</si>
  <si>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</si>
  <si>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</si>
  <si>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</si>
  <si>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</si>
  <si>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</si>
  <si>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</si>
  <si>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</si>
  <si>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</si>
  <si>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</si>
  <si>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</si>
  <si>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</si>
  <si>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</si>
  <si>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</si>
  <si>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</si>
  <si>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</si>
  <si>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</si>
  <si>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</si>
  <si>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</si>
  <si>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</si>
  <si>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</si>
  <si>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</si>
  <si>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</si>
  <si>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</si>
  <si>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</si>
  <si>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3M Hangers With Command Adhesive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</si>
  <si>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</si>
  <si>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</si>
  <si>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</si>
  <si>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</si>
  <si>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</si>
  <si>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</si>
  <si>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</si>
  <si>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</si>
  <si>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</si>
  <si>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</si>
  <si>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</si>
  <si>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</si>
  <si>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</si>
  <si>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</si>
  <si>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</si>
  <si>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</si>
  <si>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</si>
  <si>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</si>
  <si>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</si>
  <si>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</si>
  <si>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</si>
  <si>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</si>
  <si>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</si>
  <si>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</si>
  <si>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</si>
  <si>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</si>
  <si>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</si>
  <si>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</si>
  <si>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</si>
  <si>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</si>
  <si>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</si>
  <si>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</si>
  <si>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</si>
  <si>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</si>
  <si>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</si>
  <si>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</si>
  <si>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</si>
  <si>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</si>
  <si>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</si>
  <si>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</si>
  <si>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</si>
  <si>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</si>
  <si>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</si>
  <si>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</si>
  <si>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</si>
  <si>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</si>
  <si>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</si>
  <si>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</si>
  <si>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</si>
  <si>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</si>
  <si>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</si>
  <si>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</si>
  <si>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</si>
  <si>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</si>
  <si>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</si>
  <si>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</si>
  <si>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</si>
  <si>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</si>
  <si>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</si>
  <si>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</si>
  <si>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</si>
  <si>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</si>
  <si>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</si>
  <si>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</si>
  <si>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</si>
  <si>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</si>
  <si>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</si>
  <si>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</si>
  <si>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</si>
  <si>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</si>
  <si>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</si>
  <si>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</si>
  <si>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</si>
  <si>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</si>
  <si>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</si>
  <si>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</si>
  <si>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</si>
  <si>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</si>
  <si>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</si>
  <si>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</si>
  <si>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</si>
  <si>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</si>
  <si>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</si>
  <si>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</si>
  <si>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</si>
  <si>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</si>
  <si>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</si>
  <si>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</si>
  <si>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</si>
  <si>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</si>
  <si>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</si>
  <si>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</si>
  <si>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</si>
  <si>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</si>
  <si>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</si>
  <si>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</si>
  <si>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</si>
  <si>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</si>
  <si>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</si>
  <si>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</si>
  <si>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</si>
  <si>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</si>
  <si>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</si>
  <si>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</si>
  <si>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</si>
  <si>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</si>
  <si>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</si>
  <si>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</si>
  <si>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</si>
  <si>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</si>
  <si>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</si>
  <si>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</si>
  <si>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</si>
  <si>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</si>
  <si>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</si>
  <si>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</si>
  <si>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</si>
  <si>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</si>
  <si>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</si>
  <si>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</si>
  <si>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</si>
  <si>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</si>
  <si>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</si>
  <si>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</si>
  <si>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</si>
  <si>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</si>
  <si>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</si>
  <si>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</si>
  <si>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</si>
  <si>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</si>
  <si>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</si>
  <si>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</si>
  <si>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</si>
  <si>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</si>
  <si>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</si>
  <si>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</si>
  <si>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</si>
  <si>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</si>
  <si>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</si>
  <si>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</si>
  <si>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</si>
  <si>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</si>
  <si>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</si>
  <si>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</si>
  <si>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</si>
  <si>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</si>
  <si>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SAFCO Arco Folding Chair</t>
  </si>
  <si>
    <t>Binney &amp; Smith Crayola Metallic Crayons, 16-Color Pack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</si>
  <si>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</si>
  <si>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</si>
  <si>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</si>
  <si>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</si>
  <si>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</si>
  <si>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</si>
  <si>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</si>
  <si>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</si>
  <si>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</si>
  <si>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</si>
  <si>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</si>
  <si>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</si>
  <si>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</si>
  <si>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</si>
  <si>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</si>
  <si>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</si>
  <si>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</si>
  <si>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</si>
  <si>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</si>
  <si>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</si>
  <si>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</si>
  <si>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</si>
  <si>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</si>
  <si>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</si>
  <si>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</si>
  <si>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</si>
  <si>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</si>
  <si>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</si>
  <si>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</si>
  <si>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</si>
  <si>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</si>
  <si>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</si>
  <si>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</si>
  <si>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</si>
  <si>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</si>
  <si>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</si>
  <si>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</si>
  <si>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</si>
  <si>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</si>
  <si>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</si>
  <si>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</si>
  <si>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</si>
  <si>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</si>
  <si>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</si>
  <si>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</si>
  <si>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</si>
  <si>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</si>
  <si>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</si>
  <si>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</si>
  <si>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</si>
  <si>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</si>
  <si>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</si>
  <si>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</si>
  <si>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</si>
  <si>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</si>
  <si>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</si>
  <si>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</si>
  <si>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</si>
  <si>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</si>
  <si>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</si>
  <si>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</si>
  <si>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</si>
  <si>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</si>
  <si>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</si>
  <si>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</si>
  <si>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</si>
  <si>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</si>
  <si>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</si>
  <si>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</si>
  <si>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</si>
  <si>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</si>
  <si>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</si>
  <si>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</si>
  <si>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Number of #</t>
  </si>
  <si>
    <t>Count How many times this Product appeard</t>
  </si>
  <si>
    <t>products</t>
  </si>
  <si>
    <t>Xerox</t>
  </si>
  <si>
    <t>sumifs</t>
  </si>
  <si>
    <t>countifs</t>
  </si>
  <si>
    <t>Sumifs</t>
  </si>
  <si>
    <t>Countifs</t>
  </si>
  <si>
    <t xml:space="preserve">Ahmed </t>
  </si>
  <si>
    <t xml:space="preserve">Mona </t>
  </si>
  <si>
    <t xml:space="preserve">Toyota </t>
  </si>
  <si>
    <t>لا يوجد COUNT لل Mazda هسيبها فاضية اضغط على الخلية انا موضح
بالتالي هسيبها الباقي كان ليه count جمعناه ب countifs من الداتا اللى ف الصفحه اللى قبلها</t>
  </si>
  <si>
    <t>Row Labels</t>
  </si>
  <si>
    <t>Grand Total</t>
  </si>
  <si>
    <t>Dec</t>
  </si>
  <si>
    <t>Sum of Follow Up</t>
  </si>
  <si>
    <t>Sum of Call</t>
  </si>
  <si>
    <t>Sum of Email</t>
  </si>
  <si>
    <t>Sum of SMS</t>
  </si>
  <si>
    <t>Sum of Won Deals</t>
  </si>
  <si>
    <t>Sum of Lost Deals</t>
  </si>
  <si>
    <t>دي الفواتير اللى اعلى من  2 مليون جنيه</t>
  </si>
  <si>
    <t xml:space="preserve">فلترة فواتير بالاسم </t>
  </si>
  <si>
    <t>total leads</t>
  </si>
  <si>
    <t>won deals</t>
  </si>
  <si>
    <t xml:space="preserve">total working days </t>
  </si>
  <si>
    <t>total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</si>
</sst>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[$EGP]\ #,##0"/>
    <numFmt numFmtId="166" formatCode="_(* #,##0_);_(* \(#,##0\);_(* &quot;-&quot;??_);_(@_)"/>
    <numFmt numFmtId="167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14" applyNumberFormat="0" applyFill="0" applyAlignment="0" applyProtection="0"/>
  </cellStyleXfs>
  <cellXfs count="7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1" fillId="0" borderId="1" xfId="1" applyNumberFormat="1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1" applyNumberFormat="1" applyFont="1" applyBorder="1" applyAlignment="1">
      <alignment horizontal="left" vertical="center"/>
    </xf>
    <xf numFmtId="166" fontId="4" fillId="0" borderId="1" xfId="1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167" fontId="0" fillId="0" borderId="1" xfId="0" applyNumberForma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5" fillId="0" borderId="0" xfId="0" applyFont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166" fontId="0" fillId="0" borderId="1" xfId="1" applyNumberFormat="1" applyFont="1" applyBorder="1"/>
    <xf numFmtId="0" fontId="2" fillId="4" borderId="1" xfId="0" applyFont="1" applyFill="1" applyBorder="1"/>
    <xf numFmtId="0" fontId="3" fillId="0" borderId="1" xfId="0" applyFont="1" applyBorder="1"/>
    <xf numFmtId="165" fontId="1" fillId="2" borderId="1" xfId="1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6" fontId="0" fillId="0" borderId="6" xfId="1" applyNumberFormat="1" applyFont="1" applyBorder="1" applyAlignment="1">
      <alignment horizontal="left" vertical="center"/>
    </xf>
    <xf numFmtId="166" fontId="0" fillId="0" borderId="7" xfId="1" applyNumberFormat="1" applyFont="1" applyBorder="1" applyAlignment="1">
      <alignment horizontal="left" vertical="center"/>
    </xf>
    <xf numFmtId="166" fontId="3" fillId="0" borderId="10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64" fontId="3" fillId="0" borderId="1" xfId="0" applyNumberFormat="1" applyFont="1" applyBorder="1"/>
    <xf numFmtId="167" fontId="0" fillId="0" borderId="1" xfId="0" applyNumberFormat="1" applyBorder="1"/>
    <xf numFmtId="0" fontId="9" fillId="5" borderId="0" xfId="0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" fontId="0" fillId="0" borderId="1" xfId="0" applyNumberFormat="1" applyBorder="1"/>
    <xf numFmtId="0" fontId="2" fillId="7" borderId="12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0" xfId="0" applyFont="1" applyFill="1"/>
    <xf numFmtId="1" fontId="0" fillId="0" borderId="0" xfId="0" applyNumberFormat="1"/>
    <xf numFmtId="0" fontId="0" fillId="0" borderId="0" xfId="0" applyAlignment="1">
      <alignment horizontal="left" vertical="center"/>
    </xf>
    <xf numFmtId="43" fontId="0" fillId="0" borderId="0" xfId="1" applyFont="1"/>
    <xf numFmtId="0" fontId="6" fillId="6" borderId="1" xfId="0" applyFont="1" applyFill="1" applyBorder="1"/>
    <xf numFmtId="0" fontId="11" fillId="0" borderId="0" xfId="0" applyFont="1"/>
    <xf numFmtId="0" fontId="12" fillId="9" borderId="0" xfId="0" applyFont="1" applyFill="1"/>
    <xf numFmtId="0" fontId="10" fillId="0" borderId="14" xfId="2"/>
    <xf numFmtId="0" fontId="10" fillId="9" borderId="14" xfId="2" applyFill="1"/>
    <xf numFmtId="0" fontId="10" fillId="10" borderId="14" xfId="2" applyFill="1"/>
    <xf numFmtId="0" fontId="10" fillId="11" borderId="14" xfId="2" applyFill="1"/>
    <xf numFmtId="0" fontId="10" fillId="12" borderId="14" xfId="2" applyFill="1"/>
    <xf numFmtId="0" fontId="10" fillId="13" borderId="14" xfId="2" applyFill="1"/>
    <xf numFmtId="166" fontId="0" fillId="0" borderId="0" xfId="0" applyNumberFormat="1"/>
    <xf numFmtId="166" fontId="0" fillId="0" borderId="15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67" fontId="3" fillId="0" borderId="8" xfId="0" applyNumberFormat="1" applyFont="1" applyBorder="1" applyAlignment="1">
      <alignment horizontal="center" vertical="center"/>
    </xf>
    <xf numFmtId="167" fontId="3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14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2" borderId="0" xfId="0" applyFill="1"/>
    <xf numFmtId="0" fontId="0" fillId="16" borderId="0" xfId="0" applyFill="1"/>
    <xf numFmtId="0" fontId="0" fillId="17" borderId="0" xfId="0" applyFill="1"/>
  </cellXfs>
  <cellStyles count="3">
    <cellStyle name="Comma" xfId="1" builtinId="3"/>
    <cellStyle name="Heading 1" xfId="2" builtinId="16"/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2.629287268515" createdVersion="8" refreshedVersion="8" minRefreshableVersion="3" recordCount="560" xr:uid="{1767D078-9036-4603-8EFF-01B2006B9F6E}">
  <cacheSource type="worksheet">
    <worksheetSource ref="A1:O561" sheet="9"/>
  </cacheSource>
  <cacheFields count="18">
    <cacheField name="Activity Date" numFmtId="167">
      <sharedItems containsSemiMixedTypes="0" containsNonDate="0" containsDate="1" containsString="0" minDate="2018-12-31T00:00:00" maxDate="2019-03-28T00:00:00" count="78">
        <d v="2018-12-3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2T00:00:00"/>
        <d v="2019-01-14T00:00:00"/>
        <d v="2019-01-15T00:00:00"/>
        <d v="2019-01-16T00:00:00"/>
        <d v="2019-01-17T00:00:00"/>
        <d v="2019-01-18T00:00:00"/>
        <d v="2019-01-20T00:00:00"/>
        <d v="2019-01-21T00:00:00"/>
        <d v="2019-01-23T00:00:00"/>
        <d v="2019-01-25T00:00:00"/>
        <d v="2019-01-28T00:00:00"/>
        <d v="2019-01-29T00:00:00"/>
        <d v="2019-01-30T00:00:00"/>
        <d v="2019-01-19T00:00:00"/>
        <d v="2019-01-31T00:00:00"/>
        <d v="2019-01-22T00:00:00"/>
        <d v="2019-02-01T00:00:00"/>
        <d v="2019-01-24T00:00:00"/>
        <d v="2019-02-02T00:00:00"/>
        <d v="2019-02-05T00:00:00"/>
        <d v="2019-02-06T00:00:00"/>
        <d v="2019-02-07T00:00:00"/>
        <d v="2019-02-04T00:00:00"/>
        <d v="2019-02-08T00:00:00"/>
        <d v="2019-02-11T00:00:00"/>
        <d v="2019-02-12T00:00:00"/>
        <d v="2019-01-26T00:00:00"/>
        <d v="2019-02-14T00:00:00"/>
        <d v="2019-02-15T00:00:00"/>
        <d v="2019-02-18T00:00:00"/>
        <d v="2019-02-19T00:00:00"/>
        <d v="2019-02-21T00:00:00"/>
        <d v="2019-02-20T00:00:00"/>
        <d v="2019-02-22T00:00:00"/>
        <d v="2019-02-23T00:00:00"/>
        <d v="2019-02-25T00:00:00"/>
        <d v="2019-02-26T00:00:00"/>
        <d v="2019-02-27T00:00:00"/>
        <d v="2019-02-28T00:00:00"/>
        <d v="2019-03-05T00:00:00"/>
        <d v="2019-02-09T00:00:00"/>
        <d v="2019-03-06T00:00:00"/>
        <d v="2019-03-02T00:00:00"/>
        <d v="2019-03-04T00:00:00"/>
        <d v="2019-02-13T00:00:00"/>
        <d v="2019-03-07T00:00:00"/>
        <d v="2019-03-08T00:00:00"/>
        <d v="2019-03-09T00:00:00"/>
        <d v="2019-03-11T00:00:00"/>
        <d v="2019-03-12T00:00:00"/>
        <d v="2019-03-13T00:00:00"/>
        <d v="2019-03-14T00:00:00"/>
        <d v="2019-03-15T00:00:00"/>
        <d v="2019-03-16T00:00:00"/>
        <d v="2019-03-18T00:00:00"/>
        <d v="2019-03-19T00:00:00"/>
        <d v="2019-03-20T00:00:00"/>
        <d v="2019-03-21T00:00:00"/>
        <d v="2019-03-22T00:00:00"/>
        <d v="2019-03-23T00:00:00"/>
        <d v="2019-03-25T00:00:00"/>
        <d v="2019-03-27T00:00:00"/>
        <d v="2019-02-10T00:00:00"/>
        <d v="2019-02-16T00:00:00"/>
        <d v="2019-03-26T00:00:00"/>
        <d v="2019-03-01T00:00:00"/>
        <d v="2019-03-03T00:00:00"/>
        <d v="2019-03-17T00:00:00"/>
      </sharedItems>
      <fieldGroup par="17"/>
    </cacheField>
    <cacheField name="Agent Code" numFmtId="0">
      <sharedItems containsSemiMixedTypes="0" containsString="0" containsNumber="1" containsInteger="1" minValue="1" maxValue="21"/>
    </cacheField>
    <cacheField name="Agent Name" numFmtId="0">
      <sharedItems count="21">
        <s v="Aya"/>
        <s v="Essam"/>
        <s v="Emad"/>
        <s v="Mohamed"/>
        <s v="Ahmed"/>
        <s v="Shenawy"/>
        <s v="Waled"/>
        <s v="Ragy"/>
        <s v="Eman"/>
        <s v="Hossam"/>
        <s v="Hend"/>
        <s v="Abdullah"/>
        <s v="Abd El Rahman"/>
        <s v="Sara"/>
        <s v="Mona"/>
        <s v="Nada"/>
        <s v="Taha"/>
        <s v="Khalaf"/>
        <s v="Gomaa"/>
        <s v="Mostafa"/>
        <s v="Heba"/>
      </sharedItems>
    </cacheField>
    <cacheField name="Total leads" numFmtId="166">
      <sharedItems containsSemiMixedTypes="0" containsString="0" containsNumber="1" containsInteger="1" minValue="10" maxValue="635"/>
    </cacheField>
    <cacheField name="Won Deals" numFmtId="166">
      <sharedItems containsSemiMixedTypes="0" containsString="0" containsNumber="1" minValue="2" maxValue="127"/>
    </cacheField>
    <cacheField name="Lost Deals" numFmtId="166">
      <sharedItems containsSemiMixedTypes="0" containsString="0" containsNumber="1" minValue="5.5" maxValue="349.25"/>
    </cacheField>
    <cacheField name="Follow Up" numFmtId="166">
      <sharedItems containsSemiMixedTypes="0" containsString="0" containsNumber="1" minValue="2.5" maxValue="158.75"/>
    </cacheField>
    <cacheField name="Call" numFmtId="166">
      <sharedItems containsSemiMixedTypes="0" containsString="0" containsNumber="1" minValue="15" maxValue="952.5"/>
    </cacheField>
    <cacheField name="Email" numFmtId="166">
      <sharedItems containsSemiMixedTypes="0" containsString="0" containsNumber="1" minValue="3" maxValue="190.5"/>
    </cacheField>
    <cacheField name="SMS" numFmtId="166">
      <sharedItems containsSemiMixedTypes="0" containsString="0" containsNumber="1" minValue="1.5" maxValue="95.25"/>
    </cacheField>
    <cacheField name="Answered - Call Status" numFmtId="166">
      <sharedItems containsSemiMixedTypes="0" containsString="0" containsNumber="1" minValue="8.25" maxValue="523.875"/>
    </cacheField>
    <cacheField name="No answer - Call Status" numFmtId="166">
      <sharedItems containsSemiMixedTypes="0" containsString="0" containsNumber="1" minValue="1.5" maxValue="95.25"/>
    </cacheField>
    <cacheField name="Closed mobile - Call Status" numFmtId="166">
      <sharedItems containsSemiMixedTypes="0" containsString="0" containsNumber="1" minValue="2.25" maxValue="142.875"/>
    </cacheField>
    <cacheField name="Canceled - Call Status" numFmtId="166">
      <sharedItems containsSemiMixedTypes="0" containsString="0" containsNumber="1" minValue="1.05" maxValue="66.675000000000011"/>
    </cacheField>
    <cacheField name="Wrong number - Call Status" numFmtId="166">
      <sharedItems containsSemiMixedTypes="0" containsString="0" containsNumber="1" minValue="1.9500000000000002" maxValue="123.825"/>
    </cacheField>
    <cacheField name="Months (Activity Date)" numFmtId="0" databaseField="0">
      <fieldGroup base="0">
        <rangePr groupBy="months" startDate="2018-12-31T00:00:00" endDate="2019-03-28T00:00:00"/>
        <groupItems count="14">
          <s v="&lt;12/3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8/2019"/>
        </groupItems>
      </fieldGroup>
    </cacheField>
    <cacheField name="Quarters (Activity Date)" numFmtId="0" databaseField="0">
      <fieldGroup base="0">
        <rangePr groupBy="quarters" startDate="2018-12-31T00:00:00" endDate="2019-03-28T00:00:00"/>
        <groupItems count="6">
          <s v="&lt;12/31/2018"/>
          <s v="Qtr1"/>
          <s v="Qtr2"/>
          <s v="Qtr3"/>
          <s v="Qtr4"/>
          <s v="&gt;3/28/2019"/>
        </groupItems>
      </fieldGroup>
    </cacheField>
    <cacheField name="Years (Activity Date)" numFmtId="0" databaseField="0">
      <fieldGroup base="0">
        <rangePr groupBy="years" startDate="2018-12-31T00:00:00" endDate="2019-03-28T00:00:00"/>
        <groupItems count="4">
          <s v="&lt;12/31/2018"/>
          <s v="2018"/>
          <s v="2019"/>
          <s v="&gt;3/28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x v="0"/>
    <n v="4"/>
    <x v="0"/>
    <n v="30"/>
    <n v="6"/>
    <n v="16.5"/>
    <n v="7.5"/>
    <n v="45"/>
    <n v="9"/>
    <n v="4.5"/>
    <n v="24.750000000000004"/>
    <n v="4.5"/>
    <n v="6.75"/>
    <n v="3.1500000000000004"/>
    <n v="5.8500000000000005"/>
  </r>
  <r>
    <x v="0"/>
    <n v="16"/>
    <x v="1"/>
    <n v="40"/>
    <n v="8"/>
    <n v="22"/>
    <n v="10"/>
    <n v="60"/>
    <n v="12"/>
    <n v="6"/>
    <n v="33"/>
    <n v="6"/>
    <n v="9"/>
    <n v="4.2"/>
    <n v="7.8000000000000007"/>
  </r>
  <r>
    <x v="0"/>
    <n v="3"/>
    <x v="2"/>
    <n v="30"/>
    <n v="6"/>
    <n v="16.5"/>
    <n v="7.5"/>
    <n v="45"/>
    <n v="9"/>
    <n v="4.5"/>
    <n v="24.750000000000004"/>
    <n v="4.5"/>
    <n v="6.75"/>
    <n v="3.1500000000000004"/>
    <n v="5.8500000000000005"/>
  </r>
  <r>
    <x v="0"/>
    <n v="2"/>
    <x v="3"/>
    <n v="20"/>
    <n v="4"/>
    <n v="11"/>
    <n v="5"/>
    <n v="30"/>
    <n v="6"/>
    <n v="3"/>
    <n v="16.5"/>
    <n v="3"/>
    <n v="4.5"/>
    <n v="2.1"/>
    <n v="3.9000000000000004"/>
  </r>
  <r>
    <x v="0"/>
    <n v="1"/>
    <x v="4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0"/>
    <n v="18"/>
    <x v="5"/>
    <n v="50"/>
    <n v="10"/>
    <n v="27.500000000000004"/>
    <n v="12.5"/>
    <n v="75"/>
    <n v="15"/>
    <n v="7.5"/>
    <n v="41.25"/>
    <n v="7.5"/>
    <n v="11.25"/>
    <n v="5.2500000000000009"/>
    <n v="9.75"/>
  </r>
  <r>
    <x v="0"/>
    <n v="9"/>
    <x v="6"/>
    <n v="60"/>
    <n v="12"/>
    <n v="33"/>
    <n v="15"/>
    <n v="90"/>
    <n v="18"/>
    <n v="9"/>
    <n v="49.500000000000007"/>
    <n v="9"/>
    <n v="13.5"/>
    <n v="6.3000000000000007"/>
    <n v="11.700000000000001"/>
  </r>
  <r>
    <x v="0"/>
    <n v="6"/>
    <x v="7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0"/>
    <n v="15"/>
    <x v="8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0"/>
    <n v="8"/>
    <x v="9"/>
    <n v="57"/>
    <n v="11.4"/>
    <n v="31.35"/>
    <n v="14.25"/>
    <n v="85.5"/>
    <n v="17.099999999999998"/>
    <n v="8.5499999999999989"/>
    <n v="47.025000000000006"/>
    <n v="8.5500000000000007"/>
    <n v="12.824999999999999"/>
    <n v="5.9850000000000003"/>
    <n v="11.115"/>
  </r>
  <r>
    <x v="1"/>
    <n v="7"/>
    <x v="10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1"/>
    <n v="10"/>
    <x v="11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1"/>
    <n v="21"/>
    <x v="12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1"/>
    <n v="14"/>
    <x v="13"/>
    <n v="78"/>
    <n v="15.600000000000001"/>
    <n v="42.900000000000006"/>
    <n v="19.5"/>
    <n v="117"/>
    <n v="23.4"/>
    <n v="11.7"/>
    <n v="64.350000000000009"/>
    <n v="11.700000000000001"/>
    <n v="17.55"/>
    <n v="8.1900000000000013"/>
    <n v="15.21"/>
  </r>
  <r>
    <x v="1"/>
    <n v="5"/>
    <x v="14"/>
    <n v="80"/>
    <n v="16"/>
    <n v="44"/>
    <n v="20"/>
    <n v="120"/>
    <n v="24"/>
    <n v="12"/>
    <n v="66"/>
    <n v="12"/>
    <n v="18"/>
    <n v="8.4"/>
    <n v="15.600000000000001"/>
  </r>
  <r>
    <x v="1"/>
    <n v="12"/>
    <x v="15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1"/>
    <n v="19"/>
    <x v="16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1"/>
    <n v="17"/>
    <x v="17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"/>
    <n v="13"/>
    <x v="18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1"/>
    <n v="20"/>
    <x v="19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2"/>
    <n v="11"/>
    <x v="2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"/>
    <n v="11"/>
    <x v="2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"/>
    <n v="4"/>
    <x v="0"/>
    <n v="20"/>
    <n v="4"/>
    <n v="11"/>
    <n v="5"/>
    <n v="30"/>
    <n v="6"/>
    <n v="3"/>
    <n v="16.5"/>
    <n v="3"/>
    <n v="4.5"/>
    <n v="2.1"/>
    <n v="3.9000000000000004"/>
  </r>
  <r>
    <x v="2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2"/>
    <n v="3"/>
    <x v="2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2"/>
    <n v="2"/>
    <x v="3"/>
    <n v="60"/>
    <n v="12"/>
    <n v="33"/>
    <n v="15"/>
    <n v="90"/>
    <n v="18"/>
    <n v="9"/>
    <n v="49.500000000000007"/>
    <n v="9"/>
    <n v="13.5"/>
    <n v="6.3000000000000007"/>
    <n v="11.700000000000001"/>
  </r>
  <r>
    <x v="2"/>
    <n v="1"/>
    <x v="4"/>
    <n v="40"/>
    <n v="8"/>
    <n v="22"/>
    <n v="10"/>
    <n v="60"/>
    <n v="12"/>
    <n v="6"/>
    <n v="33"/>
    <n v="6"/>
    <n v="9"/>
    <n v="4.2"/>
    <n v="7.8000000000000007"/>
  </r>
  <r>
    <x v="2"/>
    <n v="18"/>
    <x v="5"/>
    <n v="50"/>
    <n v="10"/>
    <n v="27.500000000000004"/>
    <n v="12.5"/>
    <n v="75"/>
    <n v="15"/>
    <n v="7.5"/>
    <n v="41.25"/>
    <n v="7.5"/>
    <n v="11.25"/>
    <n v="5.2500000000000009"/>
    <n v="9.75"/>
  </r>
  <r>
    <x v="2"/>
    <n v="9"/>
    <x v="6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3"/>
    <n v="6"/>
    <x v="7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3"/>
    <n v="15"/>
    <x v="8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2"/>
    <n v="8"/>
    <x v="9"/>
    <n v="56"/>
    <n v="11.200000000000001"/>
    <n v="30.800000000000004"/>
    <n v="14"/>
    <n v="84"/>
    <n v="16.8"/>
    <n v="8.4"/>
    <n v="46.2"/>
    <n v="8.4"/>
    <n v="12.6"/>
    <n v="5.8800000000000008"/>
    <n v="10.92"/>
  </r>
  <r>
    <x v="3"/>
    <n v="7"/>
    <x v="10"/>
    <n v="48"/>
    <n v="9.6000000000000014"/>
    <n v="26.400000000000002"/>
    <n v="12"/>
    <n v="72"/>
    <n v="14.399999999999999"/>
    <n v="7.1999999999999993"/>
    <n v="39.6"/>
    <n v="7.2"/>
    <n v="10.799999999999999"/>
    <n v="5.0400000000000009"/>
    <n v="9.36"/>
  </r>
  <r>
    <x v="3"/>
    <n v="4"/>
    <x v="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"/>
    <n v="16"/>
    <x v="1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3"/>
    <n v="3"/>
    <x v="2"/>
    <n v="33"/>
    <n v="6.6000000000000005"/>
    <n v="18.150000000000002"/>
    <n v="8.25"/>
    <n v="49.5"/>
    <n v="9.9"/>
    <n v="4.95"/>
    <n v="27.225000000000001"/>
    <n v="4.95"/>
    <n v="7.4249999999999998"/>
    <n v="3.4650000000000003"/>
    <n v="6.4350000000000005"/>
  </r>
  <r>
    <x v="3"/>
    <n v="2"/>
    <x v="3"/>
    <n v="34"/>
    <n v="6.8000000000000007"/>
    <n v="18.700000000000003"/>
    <n v="8.5"/>
    <n v="51"/>
    <n v="10.199999999999999"/>
    <n v="5.0999999999999996"/>
    <n v="28.05"/>
    <n v="5.1000000000000005"/>
    <n v="7.6499999999999995"/>
    <n v="3.5700000000000003"/>
    <n v="6.63"/>
  </r>
  <r>
    <x v="3"/>
    <n v="1"/>
    <x v="4"/>
    <n v="635"/>
    <n v="127"/>
    <n v="349.25"/>
    <n v="158.75"/>
    <n v="952.5"/>
    <n v="190.5"/>
    <n v="95.25"/>
    <n v="523.875"/>
    <n v="95.25"/>
    <n v="142.875"/>
    <n v="66.675000000000011"/>
    <n v="123.825"/>
  </r>
  <r>
    <x v="3"/>
    <n v="18"/>
    <x v="5"/>
    <n v="56"/>
    <n v="11.200000000000001"/>
    <n v="30.800000000000004"/>
    <n v="14"/>
    <n v="84"/>
    <n v="16.8"/>
    <n v="8.4"/>
    <n v="46.2"/>
    <n v="8.4"/>
    <n v="12.6"/>
    <n v="5.8800000000000008"/>
    <n v="10.92"/>
  </r>
  <r>
    <x v="3"/>
    <n v="9"/>
    <x v="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"/>
    <n v="6"/>
    <x v="7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"/>
    <n v="15"/>
    <x v="8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4"/>
    <n v="8"/>
    <x v="9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"/>
    <n v="7"/>
    <x v="10"/>
    <n v="60"/>
    <n v="12"/>
    <n v="33"/>
    <n v="15"/>
    <n v="90"/>
    <n v="18"/>
    <n v="9"/>
    <n v="49.500000000000007"/>
    <n v="9"/>
    <n v="13.5"/>
    <n v="6.3000000000000007"/>
    <n v="11.700000000000001"/>
  </r>
  <r>
    <x v="5"/>
    <n v="4"/>
    <x v="0"/>
    <n v="50"/>
    <n v="10"/>
    <n v="27.500000000000004"/>
    <n v="12.5"/>
    <n v="75"/>
    <n v="15"/>
    <n v="7.5"/>
    <n v="41.25"/>
    <n v="7.5"/>
    <n v="11.25"/>
    <n v="5.2500000000000009"/>
    <n v="9.75"/>
  </r>
  <r>
    <x v="5"/>
    <n v="16"/>
    <x v="1"/>
    <n v="40"/>
    <n v="8"/>
    <n v="22"/>
    <n v="10"/>
    <n v="60"/>
    <n v="12"/>
    <n v="6"/>
    <n v="33"/>
    <n v="6"/>
    <n v="9"/>
    <n v="4.2"/>
    <n v="7.8000000000000007"/>
  </r>
  <r>
    <x v="5"/>
    <n v="3"/>
    <x v="2"/>
    <n v="60"/>
    <n v="12"/>
    <n v="33"/>
    <n v="15"/>
    <n v="90"/>
    <n v="18"/>
    <n v="9"/>
    <n v="49.500000000000007"/>
    <n v="9"/>
    <n v="13.5"/>
    <n v="6.3000000000000007"/>
    <n v="11.700000000000001"/>
  </r>
  <r>
    <x v="5"/>
    <n v="2"/>
    <x v="3"/>
    <n v="30"/>
    <n v="6"/>
    <n v="16.5"/>
    <n v="7.5"/>
    <n v="45"/>
    <n v="9"/>
    <n v="4.5"/>
    <n v="24.750000000000004"/>
    <n v="4.5"/>
    <n v="6.75"/>
    <n v="3.1500000000000004"/>
    <n v="5.8500000000000005"/>
  </r>
  <r>
    <x v="4"/>
    <n v="1"/>
    <x v="4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5"/>
    <n v="18"/>
    <x v="5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5"/>
    <n v="9"/>
    <x v="6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"/>
    <n v="6"/>
    <x v="7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7"/>
    <n v="15"/>
    <x v="8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7"/>
    <n v="8"/>
    <x v="9"/>
    <n v="25"/>
    <n v="5"/>
    <n v="13.750000000000002"/>
    <n v="6.25"/>
    <n v="37.5"/>
    <n v="7.5"/>
    <n v="3.75"/>
    <n v="20.625"/>
    <n v="3.75"/>
    <n v="5.625"/>
    <n v="2.6250000000000004"/>
    <n v="4.875"/>
  </r>
  <r>
    <x v="7"/>
    <n v="7"/>
    <x v="10"/>
    <n v="36"/>
    <n v="7.2"/>
    <n v="19.8"/>
    <n v="9"/>
    <n v="54"/>
    <n v="10.799999999999999"/>
    <n v="5.3999999999999995"/>
    <n v="29.700000000000003"/>
    <n v="5.4"/>
    <n v="8.1"/>
    <n v="3.7800000000000002"/>
    <n v="7.0200000000000005"/>
  </r>
  <r>
    <x v="8"/>
    <n v="10"/>
    <x v="11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4"/>
    <n v="21"/>
    <x v="12"/>
    <n v="52"/>
    <n v="10.4"/>
    <n v="28.6"/>
    <n v="13"/>
    <n v="78"/>
    <n v="15.6"/>
    <n v="7.8"/>
    <n v="42.900000000000006"/>
    <n v="7.8000000000000007"/>
    <n v="11.7"/>
    <n v="5.4600000000000009"/>
    <n v="10.14"/>
  </r>
  <r>
    <x v="4"/>
    <n v="14"/>
    <x v="13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9"/>
    <n v="5"/>
    <x v="14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9"/>
    <n v="12"/>
    <x v="15"/>
    <n v="56"/>
    <n v="11.200000000000001"/>
    <n v="30.800000000000004"/>
    <n v="14"/>
    <n v="84"/>
    <n v="16.8"/>
    <n v="8.4"/>
    <n v="46.2"/>
    <n v="8.4"/>
    <n v="12.6"/>
    <n v="5.8800000000000008"/>
    <n v="10.92"/>
  </r>
  <r>
    <x v="9"/>
    <n v="19"/>
    <x v="16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9"/>
    <n v="17"/>
    <x v="17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10"/>
    <n v="13"/>
    <x v="18"/>
    <n v="28"/>
    <n v="5.6000000000000005"/>
    <n v="15.400000000000002"/>
    <n v="7"/>
    <n v="42"/>
    <n v="8.4"/>
    <n v="4.2"/>
    <n v="23.1"/>
    <n v="4.2"/>
    <n v="6.3"/>
    <n v="2.9400000000000004"/>
    <n v="5.46"/>
  </r>
  <r>
    <x v="11"/>
    <n v="20"/>
    <x v="19"/>
    <n v="14"/>
    <n v="2.8000000000000003"/>
    <n v="7.7000000000000011"/>
    <n v="3.5"/>
    <n v="21"/>
    <n v="4.2"/>
    <n v="2.1"/>
    <n v="11.55"/>
    <n v="2.1"/>
    <n v="3.15"/>
    <n v="1.4700000000000002"/>
    <n v="2.73"/>
  </r>
  <r>
    <x v="11"/>
    <n v="11"/>
    <x v="20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11"/>
    <n v="4"/>
    <x v="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11"/>
    <n v="16"/>
    <x v="1"/>
    <n v="98"/>
    <n v="19.600000000000001"/>
    <n v="53.900000000000006"/>
    <n v="24.5"/>
    <n v="147"/>
    <n v="29.4"/>
    <n v="14.7"/>
    <n v="80.850000000000009"/>
    <n v="14.700000000000001"/>
    <n v="22.05"/>
    <n v="10.290000000000001"/>
    <n v="19.11"/>
  </r>
  <r>
    <x v="11"/>
    <n v="3"/>
    <x v="2"/>
    <n v="56"/>
    <n v="11.200000000000001"/>
    <n v="30.800000000000004"/>
    <n v="14"/>
    <n v="84"/>
    <n v="16.8"/>
    <n v="8.4"/>
    <n v="46.2"/>
    <n v="8.4"/>
    <n v="12.6"/>
    <n v="5.8800000000000008"/>
    <n v="10.92"/>
  </r>
  <r>
    <x v="12"/>
    <n v="2"/>
    <x v="3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13"/>
    <n v="1"/>
    <x v="4"/>
    <n v="44"/>
    <n v="8.8000000000000007"/>
    <n v="24.200000000000003"/>
    <n v="11"/>
    <n v="66"/>
    <n v="13.2"/>
    <n v="6.6"/>
    <n v="36.300000000000004"/>
    <n v="6.6000000000000005"/>
    <n v="9.9"/>
    <n v="4.62"/>
    <n v="8.58"/>
  </r>
  <r>
    <x v="5"/>
    <n v="18"/>
    <x v="5"/>
    <n v="10"/>
    <n v="2"/>
    <n v="5.5"/>
    <n v="2.5"/>
    <n v="15"/>
    <n v="3"/>
    <n v="1.5"/>
    <n v="8.25"/>
    <n v="1.5"/>
    <n v="2.25"/>
    <n v="1.05"/>
    <n v="1.9500000000000002"/>
  </r>
  <r>
    <x v="5"/>
    <n v="9"/>
    <x v="6"/>
    <n v="60"/>
    <n v="12"/>
    <n v="33"/>
    <n v="15"/>
    <n v="90"/>
    <n v="18"/>
    <n v="9"/>
    <n v="49.500000000000007"/>
    <n v="9"/>
    <n v="13.5"/>
    <n v="6.3000000000000007"/>
    <n v="11.700000000000001"/>
  </r>
  <r>
    <x v="5"/>
    <n v="6"/>
    <x v="7"/>
    <n v="80"/>
    <n v="16"/>
    <n v="44"/>
    <n v="20"/>
    <n v="120"/>
    <n v="24"/>
    <n v="12"/>
    <n v="66"/>
    <n v="12"/>
    <n v="18"/>
    <n v="8.4"/>
    <n v="15.600000000000001"/>
  </r>
  <r>
    <x v="6"/>
    <n v="15"/>
    <x v="8"/>
    <n v="99"/>
    <n v="19.8"/>
    <n v="54.45"/>
    <n v="24.75"/>
    <n v="148.5"/>
    <n v="29.7"/>
    <n v="14.85"/>
    <n v="81.675000000000011"/>
    <n v="14.850000000000001"/>
    <n v="22.274999999999999"/>
    <n v="10.395000000000001"/>
    <n v="19.305"/>
  </r>
  <r>
    <x v="11"/>
    <n v="8"/>
    <x v="9"/>
    <n v="80"/>
    <n v="16"/>
    <n v="44"/>
    <n v="20"/>
    <n v="120"/>
    <n v="24"/>
    <n v="12"/>
    <n v="66"/>
    <n v="12"/>
    <n v="18"/>
    <n v="8.4"/>
    <n v="15.600000000000001"/>
  </r>
  <r>
    <x v="11"/>
    <n v="7"/>
    <x v="1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1"/>
    <n v="10"/>
    <x v="11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14"/>
    <n v="21"/>
    <x v="12"/>
    <n v="78"/>
    <n v="15.600000000000001"/>
    <n v="42.900000000000006"/>
    <n v="19.5"/>
    <n v="117"/>
    <n v="23.4"/>
    <n v="11.7"/>
    <n v="64.350000000000009"/>
    <n v="11.700000000000001"/>
    <n v="17.55"/>
    <n v="8.1900000000000013"/>
    <n v="15.21"/>
  </r>
  <r>
    <x v="6"/>
    <n v="14"/>
    <x v="13"/>
    <n v="56"/>
    <n v="11.200000000000001"/>
    <n v="30.800000000000004"/>
    <n v="14"/>
    <n v="84"/>
    <n v="16.8"/>
    <n v="8.4"/>
    <n v="46.2"/>
    <n v="8.4"/>
    <n v="12.6"/>
    <n v="5.8800000000000008"/>
    <n v="10.92"/>
  </r>
  <r>
    <x v="15"/>
    <n v="5"/>
    <x v="14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15"/>
    <n v="12"/>
    <x v="15"/>
    <n v="14"/>
    <n v="2.8000000000000003"/>
    <n v="7.7000000000000011"/>
    <n v="3.5"/>
    <n v="21"/>
    <n v="4.2"/>
    <n v="2.1"/>
    <n v="11.55"/>
    <n v="2.1"/>
    <n v="3.15"/>
    <n v="1.4700000000000002"/>
    <n v="2.73"/>
  </r>
  <r>
    <x v="15"/>
    <n v="19"/>
    <x v="16"/>
    <n v="52"/>
    <n v="10.4"/>
    <n v="28.6"/>
    <n v="13"/>
    <n v="78"/>
    <n v="15.6"/>
    <n v="7.8"/>
    <n v="42.900000000000006"/>
    <n v="7.8000000000000007"/>
    <n v="11.7"/>
    <n v="5.4600000000000009"/>
    <n v="10.14"/>
  </r>
  <r>
    <x v="15"/>
    <n v="17"/>
    <x v="17"/>
    <n v="52"/>
    <n v="10.4"/>
    <n v="28.6"/>
    <n v="13"/>
    <n v="78"/>
    <n v="15.6"/>
    <n v="7.8"/>
    <n v="42.900000000000006"/>
    <n v="7.8000000000000007"/>
    <n v="11.7"/>
    <n v="5.4600000000000009"/>
    <n v="10.14"/>
  </r>
  <r>
    <x v="12"/>
    <n v="4"/>
    <x v="0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12"/>
    <n v="16"/>
    <x v="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12"/>
    <n v="3"/>
    <x v="2"/>
    <n v="68"/>
    <n v="13.600000000000001"/>
    <n v="37.400000000000006"/>
    <n v="17"/>
    <n v="102"/>
    <n v="20.399999999999999"/>
    <n v="10.199999999999999"/>
    <n v="56.1"/>
    <n v="10.200000000000001"/>
    <n v="15.299999999999999"/>
    <n v="7.1400000000000006"/>
    <n v="13.26"/>
  </r>
  <r>
    <x v="13"/>
    <n v="2"/>
    <x v="3"/>
    <n v="74"/>
    <n v="14.8"/>
    <n v="40.700000000000003"/>
    <n v="18.5"/>
    <n v="111"/>
    <n v="22.2"/>
    <n v="11.1"/>
    <n v="61.050000000000004"/>
    <n v="11.100000000000001"/>
    <n v="16.649999999999999"/>
    <n v="7.7700000000000005"/>
    <n v="14.43"/>
  </r>
  <r>
    <x v="13"/>
    <n v="1"/>
    <x v="4"/>
    <n v="85"/>
    <n v="17"/>
    <n v="46.750000000000007"/>
    <n v="21.25"/>
    <n v="127.5"/>
    <n v="25.5"/>
    <n v="12.75"/>
    <n v="70.125"/>
    <n v="12.75"/>
    <n v="19.125"/>
    <n v="8.9250000000000007"/>
    <n v="16.574999999999999"/>
  </r>
  <r>
    <x v="13"/>
    <n v="18"/>
    <x v="5"/>
    <n v="96"/>
    <n v="19.200000000000003"/>
    <n v="52.800000000000004"/>
    <n v="24"/>
    <n v="144"/>
    <n v="28.799999999999997"/>
    <n v="14.399999999999999"/>
    <n v="79.2"/>
    <n v="14.4"/>
    <n v="21.599999999999998"/>
    <n v="10.080000000000002"/>
    <n v="18.72"/>
  </r>
  <r>
    <x v="13"/>
    <n v="9"/>
    <x v="6"/>
    <n v="50"/>
    <n v="10"/>
    <n v="27.500000000000004"/>
    <n v="12.5"/>
    <n v="75"/>
    <n v="15"/>
    <n v="7.5"/>
    <n v="41.25"/>
    <n v="7.5"/>
    <n v="11.25"/>
    <n v="5.2500000000000009"/>
    <n v="9.75"/>
  </r>
  <r>
    <x v="13"/>
    <n v="6"/>
    <x v="7"/>
    <n v="40"/>
    <n v="8"/>
    <n v="22"/>
    <n v="10"/>
    <n v="60"/>
    <n v="12"/>
    <n v="6"/>
    <n v="33"/>
    <n v="6"/>
    <n v="9"/>
    <n v="4.2"/>
    <n v="7.8000000000000007"/>
  </r>
  <r>
    <x v="13"/>
    <n v="15"/>
    <x v="8"/>
    <n v="41"/>
    <n v="8.2000000000000011"/>
    <n v="22.55"/>
    <n v="10.25"/>
    <n v="61.5"/>
    <n v="12.299999999999999"/>
    <n v="6.1499999999999995"/>
    <n v="33.825000000000003"/>
    <n v="6.15"/>
    <n v="9.2249999999999996"/>
    <n v="4.3050000000000006"/>
    <n v="7.9950000000000001"/>
  </r>
  <r>
    <x v="7"/>
    <n v="8"/>
    <x v="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8"/>
    <n v="7"/>
    <x v="10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8"/>
    <n v="10"/>
    <x v="11"/>
    <n v="47"/>
    <n v="9.4"/>
    <n v="25.85"/>
    <n v="11.75"/>
    <n v="70.5"/>
    <n v="14.1"/>
    <n v="7.05"/>
    <n v="38.775000000000006"/>
    <n v="7.0500000000000007"/>
    <n v="10.574999999999999"/>
    <n v="4.9350000000000005"/>
    <n v="9.1650000000000009"/>
  </r>
  <r>
    <x v="8"/>
    <n v="21"/>
    <x v="12"/>
    <n v="41"/>
    <n v="8.2000000000000011"/>
    <n v="22.55"/>
    <n v="10.25"/>
    <n v="61.5"/>
    <n v="12.299999999999999"/>
    <n v="6.1499999999999995"/>
    <n v="33.825000000000003"/>
    <n v="6.15"/>
    <n v="9.2249999999999996"/>
    <n v="4.3050000000000006"/>
    <n v="7.9950000000000001"/>
  </r>
  <r>
    <x v="8"/>
    <n v="14"/>
    <x v="13"/>
    <n v="40"/>
    <n v="8"/>
    <n v="22"/>
    <n v="10"/>
    <n v="60"/>
    <n v="12"/>
    <n v="6"/>
    <n v="33"/>
    <n v="6"/>
    <n v="9"/>
    <n v="4.2"/>
    <n v="7.8000000000000007"/>
  </r>
  <r>
    <x v="14"/>
    <n v="5"/>
    <x v="14"/>
    <n v="50"/>
    <n v="10"/>
    <n v="27.500000000000004"/>
    <n v="12.5"/>
    <n v="75"/>
    <n v="15"/>
    <n v="7.5"/>
    <n v="41.25"/>
    <n v="7.5"/>
    <n v="11.25"/>
    <n v="5.2500000000000009"/>
    <n v="9.75"/>
  </r>
  <r>
    <x v="14"/>
    <n v="12"/>
    <x v="15"/>
    <n v="60"/>
    <n v="12"/>
    <n v="33"/>
    <n v="15"/>
    <n v="90"/>
    <n v="18"/>
    <n v="9"/>
    <n v="49.500000000000007"/>
    <n v="9"/>
    <n v="13.5"/>
    <n v="6.3000000000000007"/>
    <n v="11.700000000000001"/>
  </r>
  <r>
    <x v="14"/>
    <n v="19"/>
    <x v="16"/>
    <n v="40"/>
    <n v="8"/>
    <n v="22"/>
    <n v="10"/>
    <n v="60"/>
    <n v="12"/>
    <n v="6"/>
    <n v="33"/>
    <n v="6"/>
    <n v="9"/>
    <n v="4.2"/>
    <n v="7.8000000000000007"/>
  </r>
  <r>
    <x v="14"/>
    <n v="17"/>
    <x v="17"/>
    <n v="50"/>
    <n v="10"/>
    <n v="27.500000000000004"/>
    <n v="12.5"/>
    <n v="75"/>
    <n v="15"/>
    <n v="7.5"/>
    <n v="41.25"/>
    <n v="7.5"/>
    <n v="11.25"/>
    <n v="5.2500000000000009"/>
    <n v="9.75"/>
  </r>
  <r>
    <x v="14"/>
    <n v="4"/>
    <x v="0"/>
    <n v="60"/>
    <n v="12"/>
    <n v="33"/>
    <n v="15"/>
    <n v="90"/>
    <n v="18"/>
    <n v="9"/>
    <n v="49.500000000000007"/>
    <n v="9"/>
    <n v="13.5"/>
    <n v="6.3000000000000007"/>
    <n v="11.700000000000001"/>
  </r>
  <r>
    <x v="6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6"/>
    <n v="3"/>
    <x v="2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6"/>
    <n v="2"/>
    <x v="3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6"/>
    <n v="1"/>
    <x v="4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6"/>
    <n v="18"/>
    <x v="5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6"/>
    <n v="9"/>
    <x v="6"/>
    <n v="42"/>
    <n v="8.4"/>
    <n v="23.1"/>
    <n v="10.5"/>
    <n v="63"/>
    <n v="12.6"/>
    <n v="6.3"/>
    <n v="34.650000000000006"/>
    <n v="6.3000000000000007"/>
    <n v="9.4499999999999993"/>
    <n v="4.41"/>
    <n v="8.19"/>
  </r>
  <r>
    <x v="16"/>
    <n v="6"/>
    <x v="7"/>
    <n v="62"/>
    <n v="12.4"/>
    <n v="34.1"/>
    <n v="15.5"/>
    <n v="93"/>
    <n v="18.599999999999998"/>
    <n v="9.2999999999999989"/>
    <n v="51.150000000000006"/>
    <n v="9.3000000000000007"/>
    <n v="13.95"/>
    <n v="6.5100000000000007"/>
    <n v="12.09"/>
  </r>
  <r>
    <x v="17"/>
    <n v="15"/>
    <x v="8"/>
    <n v="64"/>
    <n v="12.8"/>
    <n v="35.200000000000003"/>
    <n v="16"/>
    <n v="96"/>
    <n v="19.2"/>
    <n v="9.6"/>
    <n v="52.800000000000004"/>
    <n v="9.6000000000000014"/>
    <n v="14.399999999999999"/>
    <n v="6.7200000000000006"/>
    <n v="12.48"/>
  </r>
  <r>
    <x v="17"/>
    <n v="8"/>
    <x v="9"/>
    <n v="68"/>
    <n v="13.600000000000001"/>
    <n v="37.400000000000006"/>
    <n v="17"/>
    <n v="102"/>
    <n v="20.399999999999999"/>
    <n v="10.199999999999999"/>
    <n v="56.1"/>
    <n v="10.200000000000001"/>
    <n v="15.299999999999999"/>
    <n v="7.1400000000000006"/>
    <n v="13.26"/>
  </r>
  <r>
    <x v="17"/>
    <n v="7"/>
    <x v="10"/>
    <n v="70"/>
    <n v="14"/>
    <n v="38.5"/>
    <n v="17.5"/>
    <n v="105"/>
    <n v="21"/>
    <n v="10.5"/>
    <n v="57.750000000000007"/>
    <n v="10.5"/>
    <n v="15.75"/>
    <n v="7.3500000000000005"/>
    <n v="13.65"/>
  </r>
  <r>
    <x v="7"/>
    <n v="10"/>
    <x v="11"/>
    <n v="50"/>
    <n v="10"/>
    <n v="27.500000000000004"/>
    <n v="12.5"/>
    <n v="75"/>
    <n v="15"/>
    <n v="7.5"/>
    <n v="41.25"/>
    <n v="7.5"/>
    <n v="11.25"/>
    <n v="5.2500000000000009"/>
    <n v="9.75"/>
  </r>
  <r>
    <x v="7"/>
    <n v="21"/>
    <x v="12"/>
    <n v="60"/>
    <n v="12"/>
    <n v="33"/>
    <n v="15"/>
    <n v="90"/>
    <n v="18"/>
    <n v="9"/>
    <n v="49.500000000000007"/>
    <n v="9"/>
    <n v="13.5"/>
    <n v="6.3000000000000007"/>
    <n v="11.700000000000001"/>
  </r>
  <r>
    <x v="7"/>
    <n v="14"/>
    <x v="13"/>
    <n v="42"/>
    <n v="8.4"/>
    <n v="23.1"/>
    <n v="10.5"/>
    <n v="63"/>
    <n v="12.6"/>
    <n v="6.3"/>
    <n v="34.650000000000006"/>
    <n v="6.3000000000000007"/>
    <n v="9.4499999999999993"/>
    <n v="4.41"/>
    <n v="8.19"/>
  </r>
  <r>
    <x v="7"/>
    <n v="5"/>
    <x v="14"/>
    <n v="50"/>
    <n v="10"/>
    <n v="27.500000000000004"/>
    <n v="12.5"/>
    <n v="75"/>
    <n v="15"/>
    <n v="7.5"/>
    <n v="41.25"/>
    <n v="7.5"/>
    <n v="11.25"/>
    <n v="5.2500000000000009"/>
    <n v="9.75"/>
  </r>
  <r>
    <x v="7"/>
    <n v="12"/>
    <x v="15"/>
    <n v="30"/>
    <n v="6"/>
    <n v="16.5"/>
    <n v="7.5"/>
    <n v="45"/>
    <n v="9"/>
    <n v="4.5"/>
    <n v="24.750000000000004"/>
    <n v="4.5"/>
    <n v="6.75"/>
    <n v="3.1500000000000004"/>
    <n v="5.8500000000000005"/>
  </r>
  <r>
    <x v="17"/>
    <n v="19"/>
    <x v="16"/>
    <n v="40"/>
    <n v="8"/>
    <n v="22"/>
    <n v="10"/>
    <n v="60"/>
    <n v="12"/>
    <n v="6"/>
    <n v="33"/>
    <n v="6"/>
    <n v="9"/>
    <n v="4.2"/>
    <n v="7.8000000000000007"/>
  </r>
  <r>
    <x v="14"/>
    <n v="17"/>
    <x v="17"/>
    <n v="50"/>
    <n v="10"/>
    <n v="27.500000000000004"/>
    <n v="12.5"/>
    <n v="75"/>
    <n v="15"/>
    <n v="7.5"/>
    <n v="41.25"/>
    <n v="7.5"/>
    <n v="11.25"/>
    <n v="5.2500000000000009"/>
    <n v="9.75"/>
  </r>
  <r>
    <x v="15"/>
    <n v="13"/>
    <x v="18"/>
    <n v="60"/>
    <n v="12"/>
    <n v="33"/>
    <n v="15"/>
    <n v="90"/>
    <n v="18"/>
    <n v="9"/>
    <n v="49.500000000000007"/>
    <n v="9"/>
    <n v="13.5"/>
    <n v="6.3000000000000007"/>
    <n v="11.700000000000001"/>
  </r>
  <r>
    <x v="15"/>
    <n v="20"/>
    <x v="19"/>
    <n v="40"/>
    <n v="8"/>
    <n v="22"/>
    <n v="10"/>
    <n v="60"/>
    <n v="12"/>
    <n v="6"/>
    <n v="33"/>
    <n v="6"/>
    <n v="9"/>
    <n v="4.2"/>
    <n v="7.8000000000000007"/>
  </r>
  <r>
    <x v="15"/>
    <n v="11"/>
    <x v="20"/>
    <n v="40"/>
    <n v="8"/>
    <n v="22"/>
    <n v="10"/>
    <n v="60"/>
    <n v="12"/>
    <n v="6"/>
    <n v="33"/>
    <n v="6"/>
    <n v="9"/>
    <n v="4.2"/>
    <n v="7.8000000000000007"/>
  </r>
  <r>
    <x v="15"/>
    <n v="4"/>
    <x v="0"/>
    <n v="50"/>
    <n v="10"/>
    <n v="27.500000000000004"/>
    <n v="12.5"/>
    <n v="75"/>
    <n v="15"/>
    <n v="7.5"/>
    <n v="41.25"/>
    <n v="7.5"/>
    <n v="11.25"/>
    <n v="5.2500000000000009"/>
    <n v="9.75"/>
  </r>
  <r>
    <x v="18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18"/>
    <n v="3"/>
    <x v="2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15"/>
    <n v="2"/>
    <x v="3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9"/>
    <n v="1"/>
    <x v="4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10"/>
    <n v="18"/>
    <x v="5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10"/>
    <n v="9"/>
    <x v="6"/>
    <n v="44"/>
    <n v="8.8000000000000007"/>
    <n v="24.200000000000003"/>
    <n v="11"/>
    <n v="66"/>
    <n v="13.2"/>
    <n v="6.6"/>
    <n v="36.300000000000004"/>
    <n v="6.6000000000000005"/>
    <n v="9.9"/>
    <n v="4.62"/>
    <n v="8.58"/>
  </r>
  <r>
    <x v="19"/>
    <n v="6"/>
    <x v="7"/>
    <n v="52"/>
    <n v="10.4"/>
    <n v="28.6"/>
    <n v="13"/>
    <n v="78"/>
    <n v="15.6"/>
    <n v="7.8"/>
    <n v="42.900000000000006"/>
    <n v="7.8000000000000007"/>
    <n v="11.7"/>
    <n v="5.4600000000000009"/>
    <n v="10.14"/>
  </r>
  <r>
    <x v="11"/>
    <n v="15"/>
    <x v="8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1"/>
    <n v="8"/>
    <x v="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9"/>
    <n v="7"/>
    <x v="1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0"/>
    <n v="10"/>
    <x v="11"/>
    <n v="20"/>
    <n v="4"/>
    <n v="11"/>
    <n v="5"/>
    <n v="30"/>
    <n v="6"/>
    <n v="3"/>
    <n v="16.5"/>
    <n v="3"/>
    <n v="4.5"/>
    <n v="2.1"/>
    <n v="3.9000000000000004"/>
  </r>
  <r>
    <x v="21"/>
    <n v="21"/>
    <x v="12"/>
    <n v="30"/>
    <n v="6"/>
    <n v="16.5"/>
    <n v="7.5"/>
    <n v="45"/>
    <n v="9"/>
    <n v="4.5"/>
    <n v="24.750000000000004"/>
    <n v="4.5"/>
    <n v="6.75"/>
    <n v="3.1500000000000004"/>
    <n v="5.8500000000000005"/>
  </r>
  <r>
    <x v="8"/>
    <n v="14"/>
    <x v="13"/>
    <n v="50"/>
    <n v="10"/>
    <n v="27.500000000000004"/>
    <n v="12.5"/>
    <n v="75"/>
    <n v="15"/>
    <n v="7.5"/>
    <n v="41.25"/>
    <n v="7.5"/>
    <n v="11.25"/>
    <n v="5.2500000000000009"/>
    <n v="9.75"/>
  </r>
  <r>
    <x v="8"/>
    <n v="5"/>
    <x v="14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8"/>
    <n v="12"/>
    <x v="15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8"/>
    <n v="19"/>
    <x v="1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8"/>
    <n v="17"/>
    <x v="17"/>
    <n v="50"/>
    <n v="10"/>
    <n v="27.500000000000004"/>
    <n v="12.5"/>
    <n v="75"/>
    <n v="15"/>
    <n v="7.5"/>
    <n v="41.25"/>
    <n v="7.5"/>
    <n v="11.25"/>
    <n v="5.2500000000000009"/>
    <n v="9.75"/>
  </r>
  <r>
    <x v="22"/>
    <n v="13"/>
    <x v="18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2"/>
    <n v="20"/>
    <x v="1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3"/>
    <n v="4"/>
    <x v="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3"/>
    <n v="16"/>
    <x v="1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22"/>
    <n v="3"/>
    <x v="2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17"/>
    <n v="2"/>
    <x v="3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7"/>
    <n v="1"/>
    <x v="4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24"/>
    <n v="18"/>
    <x v="5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9"/>
    <n v="9"/>
    <x v="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9"/>
    <n v="6"/>
    <x v="7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9"/>
    <n v="15"/>
    <x v="8"/>
    <n v="20"/>
    <n v="4"/>
    <n v="11"/>
    <n v="5"/>
    <n v="30"/>
    <n v="6"/>
    <n v="3"/>
    <n v="16.5"/>
    <n v="3"/>
    <n v="4.5"/>
    <n v="2.1"/>
    <n v="3.9000000000000004"/>
  </r>
  <r>
    <x v="9"/>
    <n v="8"/>
    <x v="9"/>
    <n v="60"/>
    <n v="12"/>
    <n v="33"/>
    <n v="15"/>
    <n v="90"/>
    <n v="18"/>
    <n v="9"/>
    <n v="49.500000000000007"/>
    <n v="9"/>
    <n v="13.5"/>
    <n v="6.3000000000000007"/>
    <n v="11.700000000000001"/>
  </r>
  <r>
    <x v="25"/>
    <n v="7"/>
    <x v="10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26"/>
    <n v="10"/>
    <x v="11"/>
    <n v="60"/>
    <n v="12"/>
    <n v="33"/>
    <n v="15"/>
    <n v="90"/>
    <n v="18"/>
    <n v="9"/>
    <n v="49.500000000000007"/>
    <n v="9"/>
    <n v="13.5"/>
    <n v="6.3000000000000007"/>
    <n v="11.700000000000001"/>
  </r>
  <r>
    <x v="26"/>
    <n v="21"/>
    <x v="12"/>
    <n v="40"/>
    <n v="8"/>
    <n v="22"/>
    <n v="10"/>
    <n v="60"/>
    <n v="12"/>
    <n v="6"/>
    <n v="33"/>
    <n v="6"/>
    <n v="9"/>
    <n v="4.2"/>
    <n v="7.8000000000000007"/>
  </r>
  <r>
    <x v="26"/>
    <n v="14"/>
    <x v="13"/>
    <n v="50"/>
    <n v="10"/>
    <n v="27.500000000000004"/>
    <n v="12.5"/>
    <n v="75"/>
    <n v="15"/>
    <n v="7.5"/>
    <n v="41.25"/>
    <n v="7.5"/>
    <n v="11.25"/>
    <n v="5.2500000000000009"/>
    <n v="9.75"/>
  </r>
  <r>
    <x v="12"/>
    <n v="5"/>
    <x v="14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12"/>
    <n v="12"/>
    <x v="15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12"/>
    <n v="19"/>
    <x v="16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26"/>
    <n v="17"/>
    <x v="17"/>
    <n v="56"/>
    <n v="11.200000000000001"/>
    <n v="30.800000000000004"/>
    <n v="14"/>
    <n v="84"/>
    <n v="16.8"/>
    <n v="8.4"/>
    <n v="46.2"/>
    <n v="8.4"/>
    <n v="12.6"/>
    <n v="5.8800000000000008"/>
    <n v="10.92"/>
  </r>
  <r>
    <x v="18"/>
    <n v="13"/>
    <x v="18"/>
    <n v="48"/>
    <n v="9.6000000000000014"/>
    <n v="26.400000000000002"/>
    <n v="12"/>
    <n v="72"/>
    <n v="14.399999999999999"/>
    <n v="7.1999999999999993"/>
    <n v="39.6"/>
    <n v="7.2"/>
    <n v="10.799999999999999"/>
    <n v="5.0400000000000009"/>
    <n v="9.36"/>
  </r>
  <r>
    <x v="27"/>
    <n v="20"/>
    <x v="1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2"/>
    <n v="11"/>
    <x v="20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9"/>
    <n v="4"/>
    <x v="0"/>
    <n v="33"/>
    <n v="6.6000000000000005"/>
    <n v="18.150000000000002"/>
    <n v="8.25"/>
    <n v="49.5"/>
    <n v="9.9"/>
    <n v="4.95"/>
    <n v="27.225000000000001"/>
    <n v="4.95"/>
    <n v="7.4249999999999998"/>
    <n v="3.4650000000000003"/>
    <n v="6.4350000000000005"/>
  </r>
  <r>
    <x v="13"/>
    <n v="16"/>
    <x v="1"/>
    <n v="34"/>
    <n v="6.8000000000000007"/>
    <n v="18.700000000000003"/>
    <n v="8.5"/>
    <n v="51"/>
    <n v="10.199999999999999"/>
    <n v="5.0999999999999996"/>
    <n v="28.05"/>
    <n v="5.1000000000000005"/>
    <n v="7.6499999999999995"/>
    <n v="3.5700000000000003"/>
    <n v="6.63"/>
  </r>
  <r>
    <x v="28"/>
    <n v="3"/>
    <x v="2"/>
    <n v="635"/>
    <n v="127"/>
    <n v="349.25"/>
    <n v="158.75"/>
    <n v="952.5"/>
    <n v="190.5"/>
    <n v="95.25"/>
    <n v="523.875"/>
    <n v="95.25"/>
    <n v="142.875"/>
    <n v="66.675000000000011"/>
    <n v="123.825"/>
  </r>
  <r>
    <x v="14"/>
    <n v="2"/>
    <x v="3"/>
    <n v="56"/>
    <n v="11.200000000000001"/>
    <n v="30.800000000000004"/>
    <n v="14"/>
    <n v="84"/>
    <n v="16.8"/>
    <n v="8.4"/>
    <n v="46.2"/>
    <n v="8.4"/>
    <n v="12.6"/>
    <n v="5.8800000000000008"/>
    <n v="10.92"/>
  </r>
  <r>
    <x v="22"/>
    <n v="1"/>
    <x v="4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2"/>
    <n v="18"/>
    <x v="5"/>
    <n v="40"/>
    <n v="8"/>
    <n v="22"/>
    <n v="10"/>
    <n v="60"/>
    <n v="12"/>
    <n v="6"/>
    <n v="33"/>
    <n v="6"/>
    <n v="9"/>
    <n v="4.2"/>
    <n v="7.8000000000000007"/>
  </r>
  <r>
    <x v="24"/>
    <n v="9"/>
    <x v="6"/>
    <n v="50"/>
    <n v="10"/>
    <n v="27.500000000000004"/>
    <n v="12.5"/>
    <n v="75"/>
    <n v="15"/>
    <n v="7.5"/>
    <n v="41.25"/>
    <n v="7.5"/>
    <n v="11.25"/>
    <n v="5.2500000000000009"/>
    <n v="9.75"/>
  </r>
  <r>
    <x v="24"/>
    <n v="6"/>
    <x v="7"/>
    <n v="60"/>
    <n v="12"/>
    <n v="33"/>
    <n v="15"/>
    <n v="90"/>
    <n v="18"/>
    <n v="9"/>
    <n v="49.500000000000007"/>
    <n v="9"/>
    <n v="13.5"/>
    <n v="6.3000000000000007"/>
    <n v="11.700000000000001"/>
  </r>
  <r>
    <x v="29"/>
    <n v="15"/>
    <x v="8"/>
    <n v="40"/>
    <n v="8"/>
    <n v="22"/>
    <n v="10"/>
    <n v="60"/>
    <n v="12"/>
    <n v="6"/>
    <n v="33"/>
    <n v="6"/>
    <n v="9"/>
    <n v="4.2"/>
    <n v="7.8000000000000007"/>
  </r>
  <r>
    <x v="29"/>
    <n v="8"/>
    <x v="9"/>
    <n v="50"/>
    <n v="10"/>
    <n v="27.500000000000004"/>
    <n v="12.5"/>
    <n v="75"/>
    <n v="15"/>
    <n v="7.5"/>
    <n v="41.25"/>
    <n v="7.5"/>
    <n v="11.25"/>
    <n v="5.2500000000000009"/>
    <n v="9.75"/>
  </r>
  <r>
    <x v="30"/>
    <n v="7"/>
    <x v="10"/>
    <n v="60"/>
    <n v="12"/>
    <n v="33"/>
    <n v="15"/>
    <n v="90"/>
    <n v="18"/>
    <n v="9"/>
    <n v="49.500000000000007"/>
    <n v="9"/>
    <n v="13.5"/>
    <n v="6.3000000000000007"/>
    <n v="11.700000000000001"/>
  </r>
  <r>
    <x v="26"/>
    <n v="10"/>
    <x v="11"/>
    <n v="60"/>
    <n v="12"/>
    <n v="33"/>
    <n v="15"/>
    <n v="90"/>
    <n v="18"/>
    <n v="9"/>
    <n v="49.500000000000007"/>
    <n v="9"/>
    <n v="13.5"/>
    <n v="6.3000000000000007"/>
    <n v="11.700000000000001"/>
  </r>
  <r>
    <x v="30"/>
    <n v="21"/>
    <x v="12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30"/>
    <n v="14"/>
    <x v="13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3"/>
    <n v="5"/>
    <x v="14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23"/>
    <n v="12"/>
    <x v="15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23"/>
    <n v="19"/>
    <x v="16"/>
    <n v="42"/>
    <n v="8.4"/>
    <n v="23.1"/>
    <n v="10.5"/>
    <n v="63"/>
    <n v="12.6"/>
    <n v="6.3"/>
    <n v="34.650000000000006"/>
    <n v="6.3000000000000007"/>
    <n v="9.4499999999999993"/>
    <n v="4.41"/>
    <n v="8.19"/>
  </r>
  <r>
    <x v="31"/>
    <n v="17"/>
    <x v="17"/>
    <n v="62"/>
    <n v="12.4"/>
    <n v="34.1"/>
    <n v="15.5"/>
    <n v="93"/>
    <n v="18.599999999999998"/>
    <n v="9.2999999999999989"/>
    <n v="51.150000000000006"/>
    <n v="9.3000000000000007"/>
    <n v="13.95"/>
    <n v="6.5100000000000007"/>
    <n v="12.09"/>
  </r>
  <r>
    <x v="31"/>
    <n v="13"/>
    <x v="18"/>
    <n v="64"/>
    <n v="12.8"/>
    <n v="35.200000000000003"/>
    <n v="16"/>
    <n v="96"/>
    <n v="19.2"/>
    <n v="9.6"/>
    <n v="52.800000000000004"/>
    <n v="9.6000000000000014"/>
    <n v="14.399999999999999"/>
    <n v="6.7200000000000006"/>
    <n v="12.48"/>
  </r>
  <r>
    <x v="17"/>
    <n v="20"/>
    <x v="19"/>
    <n v="68"/>
    <n v="13.600000000000001"/>
    <n v="37.400000000000006"/>
    <n v="17"/>
    <n v="102"/>
    <n v="20.399999999999999"/>
    <n v="10.199999999999999"/>
    <n v="56.1"/>
    <n v="10.200000000000001"/>
    <n v="15.299999999999999"/>
    <n v="7.1400000000000006"/>
    <n v="13.26"/>
  </r>
  <r>
    <x v="17"/>
    <n v="11"/>
    <x v="20"/>
    <n v="70"/>
    <n v="14"/>
    <n v="38.5"/>
    <n v="17.5"/>
    <n v="105"/>
    <n v="21"/>
    <n v="10.5"/>
    <n v="57.750000000000007"/>
    <n v="10.5"/>
    <n v="15.75"/>
    <n v="7.3500000000000005"/>
    <n v="13.65"/>
  </r>
  <r>
    <x v="17"/>
    <n v="4"/>
    <x v="0"/>
    <n v="50"/>
    <n v="10"/>
    <n v="27.500000000000004"/>
    <n v="12.5"/>
    <n v="75"/>
    <n v="15"/>
    <n v="7.5"/>
    <n v="41.25"/>
    <n v="7.5"/>
    <n v="11.25"/>
    <n v="5.2500000000000009"/>
    <n v="9.75"/>
  </r>
  <r>
    <x v="25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25"/>
    <n v="3"/>
    <x v="2"/>
    <n v="42"/>
    <n v="8.4"/>
    <n v="23.1"/>
    <n v="10.5"/>
    <n v="63"/>
    <n v="12.6"/>
    <n v="6.3"/>
    <n v="34.650000000000006"/>
    <n v="6.3000000000000007"/>
    <n v="9.4499999999999993"/>
    <n v="4.41"/>
    <n v="8.19"/>
  </r>
  <r>
    <x v="25"/>
    <n v="2"/>
    <x v="3"/>
    <n v="50"/>
    <n v="10"/>
    <n v="27.500000000000004"/>
    <n v="12.5"/>
    <n v="75"/>
    <n v="15"/>
    <n v="7.5"/>
    <n v="41.25"/>
    <n v="7.5"/>
    <n v="11.25"/>
    <n v="5.2500000000000009"/>
    <n v="9.75"/>
  </r>
  <r>
    <x v="28"/>
    <n v="1"/>
    <x v="4"/>
    <n v="30"/>
    <n v="6"/>
    <n v="16.5"/>
    <n v="7.5"/>
    <n v="45"/>
    <n v="9"/>
    <n v="4.5"/>
    <n v="24.750000000000004"/>
    <n v="4.5"/>
    <n v="6.75"/>
    <n v="3.1500000000000004"/>
    <n v="5.8500000000000005"/>
  </r>
  <r>
    <x v="28"/>
    <n v="18"/>
    <x v="5"/>
    <n v="40"/>
    <n v="8"/>
    <n v="22"/>
    <n v="10"/>
    <n v="60"/>
    <n v="12"/>
    <n v="6"/>
    <n v="33"/>
    <n v="6"/>
    <n v="9"/>
    <n v="4.2"/>
    <n v="7.8000000000000007"/>
  </r>
  <r>
    <x v="25"/>
    <n v="9"/>
    <x v="6"/>
    <n v="50"/>
    <n v="10"/>
    <n v="27.500000000000004"/>
    <n v="12.5"/>
    <n v="75"/>
    <n v="15"/>
    <n v="7.5"/>
    <n v="41.25"/>
    <n v="7.5"/>
    <n v="11.25"/>
    <n v="5.2500000000000009"/>
    <n v="9.75"/>
  </r>
  <r>
    <x v="32"/>
    <n v="6"/>
    <x v="7"/>
    <n v="60"/>
    <n v="12"/>
    <n v="33"/>
    <n v="15"/>
    <n v="90"/>
    <n v="18"/>
    <n v="9"/>
    <n v="49.500000000000007"/>
    <n v="9"/>
    <n v="13.5"/>
    <n v="6.3000000000000007"/>
    <n v="11.700000000000001"/>
  </r>
  <r>
    <x v="32"/>
    <n v="15"/>
    <x v="8"/>
    <n v="40"/>
    <n v="8"/>
    <n v="22"/>
    <n v="10"/>
    <n v="60"/>
    <n v="12"/>
    <n v="6"/>
    <n v="33"/>
    <n v="6"/>
    <n v="9"/>
    <n v="4.2"/>
    <n v="7.8000000000000007"/>
  </r>
  <r>
    <x v="32"/>
    <n v="8"/>
    <x v="9"/>
    <n v="40"/>
    <n v="8"/>
    <n v="22"/>
    <n v="10"/>
    <n v="60"/>
    <n v="12"/>
    <n v="6"/>
    <n v="33"/>
    <n v="6"/>
    <n v="9"/>
    <n v="4.2"/>
    <n v="7.8000000000000007"/>
  </r>
  <r>
    <x v="11"/>
    <n v="7"/>
    <x v="10"/>
    <n v="50"/>
    <n v="10"/>
    <n v="27.500000000000004"/>
    <n v="12.5"/>
    <n v="75"/>
    <n v="15"/>
    <n v="7.5"/>
    <n v="41.25"/>
    <n v="7.5"/>
    <n v="11.25"/>
    <n v="5.2500000000000009"/>
    <n v="9.75"/>
  </r>
  <r>
    <x v="32"/>
    <n v="4"/>
    <x v="0"/>
    <n v="60"/>
    <n v="12"/>
    <n v="33"/>
    <n v="15"/>
    <n v="90"/>
    <n v="18"/>
    <n v="9"/>
    <n v="49.500000000000007"/>
    <n v="9"/>
    <n v="13.5"/>
    <n v="6.3000000000000007"/>
    <n v="11.700000000000001"/>
  </r>
  <r>
    <x v="33"/>
    <n v="16"/>
    <x v="1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33"/>
    <n v="3"/>
    <x v="2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9"/>
    <n v="2"/>
    <x v="3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9"/>
    <n v="1"/>
    <x v="4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9"/>
    <n v="18"/>
    <x v="5"/>
    <n v="44"/>
    <n v="8.8000000000000007"/>
    <n v="24.200000000000003"/>
    <n v="11"/>
    <n v="66"/>
    <n v="13.2"/>
    <n v="6.6"/>
    <n v="36.300000000000004"/>
    <n v="6.6000000000000005"/>
    <n v="9.9"/>
    <n v="4.62"/>
    <n v="8.58"/>
  </r>
  <r>
    <x v="29"/>
    <n v="9"/>
    <x v="6"/>
    <n v="52"/>
    <n v="10.4"/>
    <n v="28.6"/>
    <n v="13"/>
    <n v="78"/>
    <n v="15.6"/>
    <n v="7.8"/>
    <n v="42.900000000000006"/>
    <n v="7.8000000000000007"/>
    <n v="11.7"/>
    <n v="5.4600000000000009"/>
    <n v="10.14"/>
  </r>
  <r>
    <x v="27"/>
    <n v="6"/>
    <x v="7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0"/>
    <n v="4"/>
    <x v="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4"/>
    <n v="16"/>
    <x v="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30"/>
    <n v="3"/>
    <x v="2"/>
    <n v="20"/>
    <n v="4"/>
    <n v="11"/>
    <n v="5"/>
    <n v="30"/>
    <n v="6"/>
    <n v="3"/>
    <n v="16.5"/>
    <n v="3"/>
    <n v="4.5"/>
    <n v="2.1"/>
    <n v="3.9000000000000004"/>
  </r>
  <r>
    <x v="35"/>
    <n v="2"/>
    <x v="3"/>
    <n v="30"/>
    <n v="6"/>
    <n v="16.5"/>
    <n v="7.5"/>
    <n v="45"/>
    <n v="9"/>
    <n v="4.5"/>
    <n v="24.750000000000004"/>
    <n v="4.5"/>
    <n v="6.75"/>
    <n v="3.1500000000000004"/>
    <n v="5.8500000000000005"/>
  </r>
  <r>
    <x v="35"/>
    <n v="1"/>
    <x v="4"/>
    <n v="50"/>
    <n v="10"/>
    <n v="27.500000000000004"/>
    <n v="12.5"/>
    <n v="75"/>
    <n v="15"/>
    <n v="7.5"/>
    <n v="41.25"/>
    <n v="7.5"/>
    <n v="11.25"/>
    <n v="5.2500000000000009"/>
    <n v="9.75"/>
  </r>
  <r>
    <x v="31"/>
    <n v="18"/>
    <x v="5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35"/>
    <n v="9"/>
    <x v="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5"/>
    <n v="6"/>
    <x v="7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1"/>
    <n v="15"/>
    <x v="8"/>
    <n v="50"/>
    <n v="10"/>
    <n v="27.500000000000004"/>
    <n v="12.5"/>
    <n v="75"/>
    <n v="15"/>
    <n v="7.5"/>
    <n v="41.25"/>
    <n v="7.5"/>
    <n v="11.25"/>
    <n v="5.2500000000000009"/>
    <n v="9.75"/>
  </r>
  <r>
    <x v="31"/>
    <n v="8"/>
    <x v="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3"/>
    <n v="7"/>
    <x v="1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6"/>
    <n v="10"/>
    <x v="1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0"/>
    <n v="21"/>
    <x v="12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20"/>
    <n v="14"/>
    <x v="13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21"/>
    <n v="5"/>
    <x v="14"/>
    <n v="56"/>
    <n v="11.200000000000001"/>
    <n v="30.800000000000004"/>
    <n v="14"/>
    <n v="84"/>
    <n v="16.8"/>
    <n v="8.4"/>
    <n v="46.2"/>
    <n v="8.4"/>
    <n v="12.6"/>
    <n v="5.8800000000000008"/>
    <n v="10.92"/>
  </r>
  <r>
    <x v="21"/>
    <n v="12"/>
    <x v="15"/>
    <n v="48"/>
    <n v="9.6000000000000014"/>
    <n v="26.400000000000002"/>
    <n v="12"/>
    <n v="72"/>
    <n v="14.399999999999999"/>
    <n v="7.1999999999999993"/>
    <n v="39.6"/>
    <n v="7.2"/>
    <n v="10.799999999999999"/>
    <n v="5.0400000000000009"/>
    <n v="9.36"/>
  </r>
  <r>
    <x v="21"/>
    <n v="19"/>
    <x v="1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3"/>
    <n v="17"/>
    <x v="17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21"/>
    <n v="13"/>
    <x v="18"/>
    <n v="33"/>
    <n v="6.6000000000000005"/>
    <n v="18.150000000000002"/>
    <n v="8.25"/>
    <n v="49.5"/>
    <n v="9.9"/>
    <n v="4.95"/>
    <n v="27.225000000000001"/>
    <n v="4.95"/>
    <n v="7.4249999999999998"/>
    <n v="3.4650000000000003"/>
    <n v="6.4350000000000005"/>
  </r>
  <r>
    <x v="22"/>
    <n v="20"/>
    <x v="19"/>
    <n v="34"/>
    <n v="6.8000000000000007"/>
    <n v="18.700000000000003"/>
    <n v="8.5"/>
    <n v="51"/>
    <n v="10.199999999999999"/>
    <n v="5.0999999999999996"/>
    <n v="28.05"/>
    <n v="5.1000000000000005"/>
    <n v="7.6499999999999995"/>
    <n v="3.5700000000000003"/>
    <n v="6.63"/>
  </r>
  <r>
    <x v="37"/>
    <n v="11"/>
    <x v="20"/>
    <n v="635"/>
    <n v="127"/>
    <n v="349.25"/>
    <n v="158.75"/>
    <n v="952.5"/>
    <n v="190.5"/>
    <n v="95.25"/>
    <n v="523.875"/>
    <n v="95.25"/>
    <n v="142.875"/>
    <n v="66.675000000000011"/>
    <n v="123.825"/>
  </r>
  <r>
    <x v="37"/>
    <n v="6"/>
    <x v="7"/>
    <n v="56"/>
    <n v="11.200000000000001"/>
    <n v="30.800000000000004"/>
    <n v="14"/>
    <n v="84"/>
    <n v="16.8"/>
    <n v="8.4"/>
    <n v="46.2"/>
    <n v="8.4"/>
    <n v="12.6"/>
    <n v="5.8800000000000008"/>
    <n v="10.92"/>
  </r>
  <r>
    <x v="37"/>
    <n v="15"/>
    <x v="8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8"/>
    <n v="8"/>
    <x v="9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38"/>
    <n v="7"/>
    <x v="10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38"/>
    <n v="10"/>
    <x v="1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39"/>
    <n v="21"/>
    <x v="12"/>
    <n v="60"/>
    <n v="12"/>
    <n v="33"/>
    <n v="15"/>
    <n v="90"/>
    <n v="18"/>
    <n v="9"/>
    <n v="49.500000000000007"/>
    <n v="9"/>
    <n v="13.5"/>
    <n v="6.3000000000000007"/>
    <n v="11.700000000000001"/>
  </r>
  <r>
    <x v="24"/>
    <n v="14"/>
    <x v="13"/>
    <n v="50"/>
    <n v="10"/>
    <n v="27.500000000000004"/>
    <n v="12.5"/>
    <n v="75"/>
    <n v="15"/>
    <n v="7.5"/>
    <n v="41.25"/>
    <n v="7.5"/>
    <n v="11.25"/>
    <n v="5.2500000000000009"/>
    <n v="9.75"/>
  </r>
  <r>
    <x v="24"/>
    <n v="4"/>
    <x v="0"/>
    <n v="40"/>
    <n v="8"/>
    <n v="22"/>
    <n v="10"/>
    <n v="60"/>
    <n v="12"/>
    <n v="6"/>
    <n v="33"/>
    <n v="6"/>
    <n v="9"/>
    <n v="4.2"/>
    <n v="7.8000000000000007"/>
  </r>
  <r>
    <x v="24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26"/>
    <n v="3"/>
    <x v="2"/>
    <n v="30"/>
    <n v="6"/>
    <n v="16.5"/>
    <n v="7.5"/>
    <n v="45"/>
    <n v="9"/>
    <n v="4.5"/>
    <n v="24.750000000000004"/>
    <n v="4.5"/>
    <n v="6.75"/>
    <n v="3.1500000000000004"/>
    <n v="5.8500000000000005"/>
  </r>
  <r>
    <x v="28"/>
    <n v="2"/>
    <x v="3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32"/>
    <n v="1"/>
    <x v="4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32"/>
    <n v="18"/>
    <x v="5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32"/>
    <n v="9"/>
    <x v="6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0"/>
    <n v="6"/>
    <x v="7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9"/>
    <n v="15"/>
    <x v="8"/>
    <n v="25"/>
    <n v="5"/>
    <n v="13.750000000000002"/>
    <n v="6.25"/>
    <n v="37.5"/>
    <n v="7.5"/>
    <n v="3.75"/>
    <n v="20.625"/>
    <n v="3.75"/>
    <n v="5.625"/>
    <n v="2.6250000000000004"/>
    <n v="4.875"/>
  </r>
  <r>
    <x v="39"/>
    <n v="8"/>
    <x v="9"/>
    <n v="36"/>
    <n v="7.2"/>
    <n v="19.8"/>
    <n v="9"/>
    <n v="54"/>
    <n v="10.799999999999999"/>
    <n v="5.3999999999999995"/>
    <n v="29.700000000000003"/>
    <n v="5.4"/>
    <n v="8.1"/>
    <n v="3.7800000000000002"/>
    <n v="7.0200000000000005"/>
  </r>
  <r>
    <x v="39"/>
    <n v="7"/>
    <x v="10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39"/>
    <n v="10"/>
    <x v="11"/>
    <n v="52"/>
    <n v="10.4"/>
    <n v="28.6"/>
    <n v="13"/>
    <n v="78"/>
    <n v="15.6"/>
    <n v="7.8"/>
    <n v="42.900000000000006"/>
    <n v="7.8000000000000007"/>
    <n v="11.7"/>
    <n v="5.4600000000000009"/>
    <n v="10.14"/>
  </r>
  <r>
    <x v="39"/>
    <n v="21"/>
    <x v="1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0"/>
    <n v="14"/>
    <x v="13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0"/>
    <n v="5"/>
    <x v="14"/>
    <n v="56"/>
    <n v="11.200000000000001"/>
    <n v="30.800000000000004"/>
    <n v="14"/>
    <n v="84"/>
    <n v="16.8"/>
    <n v="8.4"/>
    <n v="46.2"/>
    <n v="8.4"/>
    <n v="12.6"/>
    <n v="5.8800000000000008"/>
    <n v="10.92"/>
  </r>
  <r>
    <x v="40"/>
    <n v="12"/>
    <x v="15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0"/>
    <n v="19"/>
    <x v="16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40"/>
    <n v="17"/>
    <x v="17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40"/>
    <n v="13"/>
    <x v="18"/>
    <n v="56"/>
    <n v="11.200000000000001"/>
    <n v="30.800000000000004"/>
    <n v="14"/>
    <n v="84"/>
    <n v="16.8"/>
    <n v="8.4"/>
    <n v="46.2"/>
    <n v="8.4"/>
    <n v="12.6"/>
    <n v="5.8800000000000008"/>
    <n v="10.92"/>
  </r>
  <r>
    <x v="25"/>
    <n v="20"/>
    <x v="19"/>
    <n v="48"/>
    <n v="9.6000000000000014"/>
    <n v="26.400000000000002"/>
    <n v="12"/>
    <n v="72"/>
    <n v="14.399999999999999"/>
    <n v="7.1999999999999993"/>
    <n v="39.6"/>
    <n v="7.2"/>
    <n v="10.799999999999999"/>
    <n v="5.0400000000000009"/>
    <n v="9.36"/>
  </r>
  <r>
    <x v="25"/>
    <n v="11"/>
    <x v="2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5"/>
    <n v="5"/>
    <x v="14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29"/>
    <n v="12"/>
    <x v="15"/>
    <n v="33"/>
    <n v="6.6000000000000005"/>
    <n v="18.150000000000002"/>
    <n v="8.25"/>
    <n v="49.5"/>
    <n v="9.9"/>
    <n v="4.95"/>
    <n v="27.225000000000001"/>
    <n v="4.95"/>
    <n v="7.4249999999999998"/>
    <n v="3.4650000000000003"/>
    <n v="6.4350000000000005"/>
  </r>
  <r>
    <x v="30"/>
    <n v="19"/>
    <x v="16"/>
    <n v="34"/>
    <n v="6.8000000000000007"/>
    <n v="18.700000000000003"/>
    <n v="8.5"/>
    <n v="51"/>
    <n v="10.199999999999999"/>
    <n v="5.0999999999999996"/>
    <n v="28.05"/>
    <n v="5.1000000000000005"/>
    <n v="7.6499999999999995"/>
    <n v="3.5700000000000003"/>
    <n v="6.63"/>
  </r>
  <r>
    <x v="30"/>
    <n v="4"/>
    <x v="0"/>
    <n v="635"/>
    <n v="127"/>
    <n v="349.25"/>
    <n v="158.75"/>
    <n v="952.5"/>
    <n v="190.5"/>
    <n v="95.25"/>
    <n v="523.875"/>
    <n v="95.25"/>
    <n v="142.875"/>
    <n v="66.675000000000011"/>
    <n v="123.825"/>
  </r>
  <r>
    <x v="30"/>
    <n v="16"/>
    <x v="1"/>
    <n v="56"/>
    <n v="11.200000000000001"/>
    <n v="30.800000000000004"/>
    <n v="14"/>
    <n v="84"/>
    <n v="16.8"/>
    <n v="8.4"/>
    <n v="46.2"/>
    <n v="8.4"/>
    <n v="12.6"/>
    <n v="5.8800000000000008"/>
    <n v="10.92"/>
  </r>
  <r>
    <x v="41"/>
    <n v="3"/>
    <x v="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1"/>
    <n v="2"/>
    <x v="3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30"/>
    <n v="1"/>
    <x v="4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42"/>
    <n v="18"/>
    <x v="5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2"/>
    <n v="9"/>
    <x v="6"/>
    <n v="60"/>
    <n v="12"/>
    <n v="33"/>
    <n v="15"/>
    <n v="90"/>
    <n v="18"/>
    <n v="9"/>
    <n v="49.500000000000007"/>
    <n v="9"/>
    <n v="13.5"/>
    <n v="6.3000000000000007"/>
    <n v="11.700000000000001"/>
  </r>
  <r>
    <x v="42"/>
    <n v="6"/>
    <x v="7"/>
    <n v="50"/>
    <n v="10"/>
    <n v="27.500000000000004"/>
    <n v="12.5"/>
    <n v="75"/>
    <n v="15"/>
    <n v="7.5"/>
    <n v="41.25"/>
    <n v="7.5"/>
    <n v="11.25"/>
    <n v="5.2500000000000009"/>
    <n v="9.75"/>
  </r>
  <r>
    <x v="42"/>
    <n v="15"/>
    <x v="8"/>
    <n v="40"/>
    <n v="8"/>
    <n v="22"/>
    <n v="10"/>
    <n v="60"/>
    <n v="12"/>
    <n v="6"/>
    <n v="33"/>
    <n v="6"/>
    <n v="9"/>
    <n v="4.2"/>
    <n v="7.8000000000000007"/>
  </r>
  <r>
    <x v="42"/>
    <n v="8"/>
    <x v="9"/>
    <n v="60"/>
    <n v="12"/>
    <n v="33"/>
    <n v="15"/>
    <n v="90"/>
    <n v="18"/>
    <n v="9"/>
    <n v="49.500000000000007"/>
    <n v="9"/>
    <n v="13.5"/>
    <n v="6.3000000000000007"/>
    <n v="11.700000000000001"/>
  </r>
  <r>
    <x v="41"/>
    <n v="7"/>
    <x v="10"/>
    <n v="30"/>
    <n v="6"/>
    <n v="16.5"/>
    <n v="7.5"/>
    <n v="45"/>
    <n v="9"/>
    <n v="4.5"/>
    <n v="24.750000000000004"/>
    <n v="4.5"/>
    <n v="6.75"/>
    <n v="3.1500000000000004"/>
    <n v="5.8500000000000005"/>
  </r>
  <r>
    <x v="41"/>
    <n v="10"/>
    <x v="11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1"/>
    <n v="21"/>
    <x v="12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1"/>
    <n v="14"/>
    <x v="13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1"/>
    <n v="5"/>
    <x v="14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1"/>
    <n v="12"/>
    <x v="15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3"/>
    <n v="19"/>
    <x v="16"/>
    <n v="25"/>
    <n v="5"/>
    <n v="13.750000000000002"/>
    <n v="6.25"/>
    <n v="37.5"/>
    <n v="7.5"/>
    <n v="3.75"/>
    <n v="20.625"/>
    <n v="3.75"/>
    <n v="5.625"/>
    <n v="2.6250000000000004"/>
    <n v="4.875"/>
  </r>
  <r>
    <x v="18"/>
    <n v="17"/>
    <x v="17"/>
    <n v="36"/>
    <n v="7.2"/>
    <n v="19.8"/>
    <n v="9"/>
    <n v="54"/>
    <n v="10.799999999999999"/>
    <n v="5.3999999999999995"/>
    <n v="29.700000000000003"/>
    <n v="5.4"/>
    <n v="8.1"/>
    <n v="3.7800000000000002"/>
    <n v="7.0200000000000005"/>
  </r>
  <r>
    <x v="18"/>
    <n v="13"/>
    <x v="18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18"/>
    <n v="20"/>
    <x v="19"/>
    <n v="52"/>
    <n v="10.4"/>
    <n v="28.6"/>
    <n v="13"/>
    <n v="78"/>
    <n v="15.6"/>
    <n v="7.8"/>
    <n v="42.900000000000006"/>
    <n v="7.8000000000000007"/>
    <n v="11.7"/>
    <n v="5.4600000000000009"/>
    <n v="10.14"/>
  </r>
  <r>
    <x v="18"/>
    <n v="11"/>
    <x v="2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1"/>
    <n v="4"/>
    <x v="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3"/>
    <n v="16"/>
    <x v="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3"/>
    <n v="3"/>
    <x v="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4"/>
    <n v="2"/>
    <x v="3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4"/>
    <n v="1"/>
    <x v="4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43"/>
    <n v="18"/>
    <x v="5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3"/>
    <n v="9"/>
    <x v="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27"/>
    <n v="6"/>
    <x v="7"/>
    <n v="20"/>
    <n v="4"/>
    <n v="11"/>
    <n v="5"/>
    <n v="30"/>
    <n v="6"/>
    <n v="3"/>
    <n v="16.5"/>
    <n v="3"/>
    <n v="4.5"/>
    <n v="2.1"/>
    <n v="3.9000000000000004"/>
  </r>
  <r>
    <x v="27"/>
    <n v="15"/>
    <x v="8"/>
    <n v="60"/>
    <n v="12"/>
    <n v="33"/>
    <n v="15"/>
    <n v="90"/>
    <n v="18"/>
    <n v="9"/>
    <n v="49.500000000000007"/>
    <n v="9"/>
    <n v="13.5"/>
    <n v="6.3000000000000007"/>
    <n v="11.700000000000001"/>
  </r>
  <r>
    <x v="27"/>
    <n v="8"/>
    <x v="9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27"/>
    <n v="7"/>
    <x v="10"/>
    <n v="60"/>
    <n v="12"/>
    <n v="33"/>
    <n v="15"/>
    <n v="90"/>
    <n v="18"/>
    <n v="9"/>
    <n v="49.500000000000007"/>
    <n v="9"/>
    <n v="13.5"/>
    <n v="6.3000000000000007"/>
    <n v="11.700000000000001"/>
  </r>
  <r>
    <x v="27"/>
    <n v="10"/>
    <x v="11"/>
    <n v="40"/>
    <n v="8"/>
    <n v="22"/>
    <n v="10"/>
    <n v="60"/>
    <n v="12"/>
    <n v="6"/>
    <n v="33"/>
    <n v="6"/>
    <n v="9"/>
    <n v="4.2"/>
    <n v="7.8000000000000007"/>
  </r>
  <r>
    <x v="27"/>
    <n v="21"/>
    <x v="12"/>
    <n v="50"/>
    <n v="10"/>
    <n v="27.500000000000004"/>
    <n v="12.5"/>
    <n v="75"/>
    <n v="15"/>
    <n v="7.5"/>
    <n v="41.25"/>
    <n v="7.5"/>
    <n v="11.25"/>
    <n v="5.2500000000000009"/>
    <n v="9.75"/>
  </r>
  <r>
    <x v="27"/>
    <n v="14"/>
    <x v="13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31"/>
    <n v="5"/>
    <x v="14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31"/>
    <n v="4"/>
    <x v="0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45"/>
    <n v="16"/>
    <x v="1"/>
    <n v="56"/>
    <n v="11.200000000000001"/>
    <n v="30.800000000000004"/>
    <n v="14"/>
    <n v="84"/>
    <n v="16.8"/>
    <n v="8.4"/>
    <n v="46.2"/>
    <n v="8.4"/>
    <n v="12.6"/>
    <n v="5.8800000000000008"/>
    <n v="10.92"/>
  </r>
  <r>
    <x v="19"/>
    <n v="3"/>
    <x v="2"/>
    <n v="48"/>
    <n v="9.6000000000000014"/>
    <n v="26.400000000000002"/>
    <n v="12"/>
    <n v="72"/>
    <n v="14.399999999999999"/>
    <n v="7.1999999999999993"/>
    <n v="39.6"/>
    <n v="7.2"/>
    <n v="10.799999999999999"/>
    <n v="5.0400000000000009"/>
    <n v="9.36"/>
  </r>
  <r>
    <x v="19"/>
    <n v="2"/>
    <x v="3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19"/>
    <n v="1"/>
    <x v="4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19"/>
    <n v="18"/>
    <x v="5"/>
    <n v="33"/>
    <n v="6.6000000000000005"/>
    <n v="18.150000000000002"/>
    <n v="8.25"/>
    <n v="49.5"/>
    <n v="9.9"/>
    <n v="4.95"/>
    <n v="27.225000000000001"/>
    <n v="4.95"/>
    <n v="7.4249999999999998"/>
    <n v="3.4650000000000003"/>
    <n v="6.4350000000000005"/>
  </r>
  <r>
    <x v="19"/>
    <n v="9"/>
    <x v="6"/>
    <n v="34"/>
    <n v="6.8000000000000007"/>
    <n v="18.700000000000003"/>
    <n v="8.5"/>
    <n v="51"/>
    <n v="10.199999999999999"/>
    <n v="5.0999999999999996"/>
    <n v="28.05"/>
    <n v="5.1000000000000005"/>
    <n v="7.6499999999999995"/>
    <n v="3.5700000000000003"/>
    <n v="6.63"/>
  </r>
  <r>
    <x v="19"/>
    <n v="6"/>
    <x v="7"/>
    <n v="635"/>
    <n v="127"/>
    <n v="349.25"/>
    <n v="158.75"/>
    <n v="952.5"/>
    <n v="190.5"/>
    <n v="95.25"/>
    <n v="523.875"/>
    <n v="95.25"/>
    <n v="142.875"/>
    <n v="66.675000000000011"/>
    <n v="123.825"/>
  </r>
  <r>
    <x v="45"/>
    <n v="15"/>
    <x v="8"/>
    <n v="56"/>
    <n v="11.200000000000001"/>
    <n v="30.800000000000004"/>
    <n v="14"/>
    <n v="84"/>
    <n v="16.8"/>
    <n v="8.4"/>
    <n v="46.2"/>
    <n v="8.4"/>
    <n v="12.6"/>
    <n v="5.8800000000000008"/>
    <n v="10.92"/>
  </r>
  <r>
    <x v="36"/>
    <n v="8"/>
    <x v="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6"/>
    <n v="7"/>
    <x v="1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6"/>
    <n v="10"/>
    <x v="11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20"/>
    <n v="21"/>
    <x v="12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0"/>
    <n v="14"/>
    <x v="13"/>
    <n v="60"/>
    <n v="12"/>
    <n v="33"/>
    <n v="15"/>
    <n v="90"/>
    <n v="18"/>
    <n v="9"/>
    <n v="49.500000000000007"/>
    <n v="9"/>
    <n v="13.5"/>
    <n v="6.3000000000000007"/>
    <n v="11.700000000000001"/>
  </r>
  <r>
    <x v="20"/>
    <n v="5"/>
    <x v="14"/>
    <n v="50"/>
    <n v="10"/>
    <n v="27.500000000000004"/>
    <n v="12.5"/>
    <n v="75"/>
    <n v="15"/>
    <n v="7.5"/>
    <n v="41.25"/>
    <n v="7.5"/>
    <n v="11.25"/>
    <n v="5.2500000000000009"/>
    <n v="9.75"/>
  </r>
  <r>
    <x v="20"/>
    <n v="12"/>
    <x v="15"/>
    <n v="40"/>
    <n v="8"/>
    <n v="22"/>
    <n v="10"/>
    <n v="60"/>
    <n v="12"/>
    <n v="6"/>
    <n v="33"/>
    <n v="6"/>
    <n v="9"/>
    <n v="4.2"/>
    <n v="7.8000000000000007"/>
  </r>
  <r>
    <x v="46"/>
    <n v="19"/>
    <x v="16"/>
    <n v="60"/>
    <n v="12"/>
    <n v="33"/>
    <n v="15"/>
    <n v="90"/>
    <n v="18"/>
    <n v="9"/>
    <n v="49.500000000000007"/>
    <n v="9"/>
    <n v="13.5"/>
    <n v="6.3000000000000007"/>
    <n v="11.700000000000001"/>
  </r>
  <r>
    <x v="46"/>
    <n v="17"/>
    <x v="17"/>
    <n v="30"/>
    <n v="6"/>
    <n v="16.5"/>
    <n v="7.5"/>
    <n v="45"/>
    <n v="9"/>
    <n v="4.5"/>
    <n v="24.750000000000004"/>
    <n v="4.5"/>
    <n v="6.75"/>
    <n v="3.1500000000000004"/>
    <n v="5.8500000000000005"/>
  </r>
  <r>
    <x v="21"/>
    <n v="13"/>
    <x v="18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6"/>
    <n v="20"/>
    <x v="19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31"/>
    <n v="11"/>
    <x v="2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1"/>
    <n v="12"/>
    <x v="15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21"/>
    <n v="19"/>
    <x v="1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7"/>
    <n v="17"/>
    <x v="17"/>
    <n v="25"/>
    <n v="5"/>
    <n v="13.750000000000002"/>
    <n v="6.25"/>
    <n v="37.5"/>
    <n v="7.5"/>
    <n v="3.75"/>
    <n v="20.625"/>
    <n v="3.75"/>
    <n v="5.625"/>
    <n v="2.6250000000000004"/>
    <n v="4.875"/>
  </r>
  <r>
    <x v="22"/>
    <n v="13"/>
    <x v="18"/>
    <n v="36"/>
    <n v="7.2"/>
    <n v="19.8"/>
    <n v="9"/>
    <n v="54"/>
    <n v="10.799999999999999"/>
    <n v="5.3999999999999995"/>
    <n v="29.700000000000003"/>
    <n v="5.4"/>
    <n v="8.1"/>
    <n v="3.7800000000000002"/>
    <n v="7.0200000000000005"/>
  </r>
  <r>
    <x v="33"/>
    <n v="20"/>
    <x v="19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48"/>
    <n v="4"/>
    <x v="0"/>
    <n v="52"/>
    <n v="10.4"/>
    <n v="28.6"/>
    <n v="13"/>
    <n v="78"/>
    <n v="15.6"/>
    <n v="7.8"/>
    <n v="42.900000000000006"/>
    <n v="7.8000000000000007"/>
    <n v="11.7"/>
    <n v="5.4600000000000009"/>
    <n v="10.14"/>
  </r>
  <r>
    <x v="24"/>
    <n v="16"/>
    <x v="1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9"/>
    <n v="3"/>
    <x v="2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9"/>
    <n v="4"/>
    <x v="0"/>
    <n v="56"/>
    <n v="11.200000000000001"/>
    <n v="30.800000000000004"/>
    <n v="14"/>
    <n v="84"/>
    <n v="16.8"/>
    <n v="8.4"/>
    <n v="46.2"/>
    <n v="8.4"/>
    <n v="12.6"/>
    <n v="5.8800000000000008"/>
    <n v="10.92"/>
  </r>
  <r>
    <x v="50"/>
    <n v="16"/>
    <x v="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9"/>
    <n v="3"/>
    <x v="2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26"/>
    <n v="2"/>
    <x v="3"/>
    <n v="28"/>
    <n v="5.6000000000000005"/>
    <n v="15.400000000000002"/>
    <n v="7"/>
    <n v="42"/>
    <n v="8.4"/>
    <n v="4.2"/>
    <n v="23.1"/>
    <n v="4.2"/>
    <n v="6.3"/>
    <n v="2.9400000000000004"/>
    <n v="5.46"/>
  </r>
  <r>
    <x v="34"/>
    <n v="1"/>
    <x v="4"/>
    <n v="14"/>
    <n v="2.8000000000000003"/>
    <n v="7.7000000000000011"/>
    <n v="3.5"/>
    <n v="21"/>
    <n v="4.2"/>
    <n v="2.1"/>
    <n v="11.55"/>
    <n v="2.1"/>
    <n v="3.15"/>
    <n v="1.4700000000000002"/>
    <n v="2.73"/>
  </r>
  <r>
    <x v="34"/>
    <n v="18"/>
    <x v="5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51"/>
    <n v="9"/>
    <x v="6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1"/>
    <n v="6"/>
    <x v="7"/>
    <n v="98"/>
    <n v="19.600000000000001"/>
    <n v="53.900000000000006"/>
    <n v="24.5"/>
    <n v="147"/>
    <n v="29.4"/>
    <n v="14.7"/>
    <n v="80.850000000000009"/>
    <n v="14.700000000000001"/>
    <n v="22.05"/>
    <n v="10.290000000000001"/>
    <n v="19.11"/>
  </r>
  <r>
    <x v="52"/>
    <n v="15"/>
    <x v="8"/>
    <n v="56"/>
    <n v="11.200000000000001"/>
    <n v="30.800000000000004"/>
    <n v="14"/>
    <n v="84"/>
    <n v="16.8"/>
    <n v="8.4"/>
    <n v="46.2"/>
    <n v="8.4"/>
    <n v="12.6"/>
    <n v="5.8800000000000008"/>
    <n v="10.92"/>
  </r>
  <r>
    <x v="52"/>
    <n v="8"/>
    <x v="9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53"/>
    <n v="7"/>
    <x v="10"/>
    <n v="44"/>
    <n v="8.8000000000000007"/>
    <n v="24.200000000000003"/>
    <n v="11"/>
    <n v="66"/>
    <n v="13.2"/>
    <n v="6.6"/>
    <n v="36.300000000000004"/>
    <n v="6.6000000000000005"/>
    <n v="9.9"/>
    <n v="4.62"/>
    <n v="8.58"/>
  </r>
  <r>
    <x v="53"/>
    <n v="10"/>
    <x v="11"/>
    <n v="10"/>
    <n v="2"/>
    <n v="5.5"/>
    <n v="2.5"/>
    <n v="15"/>
    <n v="3"/>
    <n v="1.5"/>
    <n v="8.25"/>
    <n v="1.5"/>
    <n v="2.25"/>
    <n v="1.05"/>
    <n v="1.9500000000000002"/>
  </r>
  <r>
    <x v="53"/>
    <n v="21"/>
    <x v="12"/>
    <n v="60"/>
    <n v="12"/>
    <n v="33"/>
    <n v="15"/>
    <n v="90"/>
    <n v="18"/>
    <n v="9"/>
    <n v="49.500000000000007"/>
    <n v="9"/>
    <n v="13.5"/>
    <n v="6.3000000000000007"/>
    <n v="11.700000000000001"/>
  </r>
  <r>
    <x v="49"/>
    <n v="14"/>
    <x v="13"/>
    <n v="80"/>
    <n v="16"/>
    <n v="44"/>
    <n v="20"/>
    <n v="120"/>
    <n v="24"/>
    <n v="12"/>
    <n v="66"/>
    <n v="12"/>
    <n v="18"/>
    <n v="8.4"/>
    <n v="15.600000000000001"/>
  </r>
  <r>
    <x v="49"/>
    <n v="5"/>
    <x v="14"/>
    <n v="99"/>
    <n v="19.8"/>
    <n v="54.45"/>
    <n v="24.75"/>
    <n v="148.5"/>
    <n v="29.7"/>
    <n v="14.85"/>
    <n v="81.675000000000011"/>
    <n v="14.850000000000001"/>
    <n v="22.274999999999999"/>
    <n v="10.395000000000001"/>
    <n v="19.305"/>
  </r>
  <r>
    <x v="51"/>
    <n v="12"/>
    <x v="15"/>
    <n v="80"/>
    <n v="16"/>
    <n v="44"/>
    <n v="20"/>
    <n v="120"/>
    <n v="24"/>
    <n v="12"/>
    <n v="66"/>
    <n v="12"/>
    <n v="18"/>
    <n v="8.4"/>
    <n v="15.600000000000001"/>
  </r>
  <r>
    <x v="51"/>
    <n v="19"/>
    <x v="1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4"/>
    <n v="17"/>
    <x v="17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54"/>
    <n v="13"/>
    <x v="18"/>
    <n v="78"/>
    <n v="15.600000000000001"/>
    <n v="42.900000000000006"/>
    <n v="19.5"/>
    <n v="117"/>
    <n v="23.4"/>
    <n v="11.7"/>
    <n v="64.350000000000009"/>
    <n v="11.700000000000001"/>
    <n v="17.55"/>
    <n v="8.1900000000000013"/>
    <n v="15.21"/>
  </r>
  <r>
    <x v="54"/>
    <n v="20"/>
    <x v="19"/>
    <n v="56"/>
    <n v="11.200000000000001"/>
    <n v="30.800000000000004"/>
    <n v="14"/>
    <n v="84"/>
    <n v="16.8"/>
    <n v="8.4"/>
    <n v="46.2"/>
    <n v="8.4"/>
    <n v="12.6"/>
    <n v="5.8800000000000008"/>
    <n v="10.92"/>
  </r>
  <r>
    <x v="55"/>
    <n v="11"/>
    <x v="20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55"/>
    <n v="1"/>
    <x v="4"/>
    <n v="14"/>
    <n v="2.8000000000000003"/>
    <n v="7.7000000000000011"/>
    <n v="3.5"/>
    <n v="21"/>
    <n v="4.2"/>
    <n v="2.1"/>
    <n v="11.55"/>
    <n v="2.1"/>
    <n v="3.15"/>
    <n v="1.4700000000000002"/>
    <n v="2.73"/>
  </r>
  <r>
    <x v="55"/>
    <n v="18"/>
    <x v="5"/>
    <n v="52"/>
    <n v="10.4"/>
    <n v="28.6"/>
    <n v="13"/>
    <n v="78"/>
    <n v="15.6"/>
    <n v="7.8"/>
    <n v="42.900000000000006"/>
    <n v="7.8000000000000007"/>
    <n v="11.7"/>
    <n v="5.4600000000000009"/>
    <n v="10.14"/>
  </r>
  <r>
    <x v="55"/>
    <n v="9"/>
    <x v="6"/>
    <n v="52"/>
    <n v="10.4"/>
    <n v="28.6"/>
    <n v="13"/>
    <n v="78"/>
    <n v="15.6"/>
    <n v="7.8"/>
    <n v="42.900000000000006"/>
    <n v="7.8000000000000007"/>
    <n v="11.7"/>
    <n v="5.4600000000000009"/>
    <n v="10.14"/>
  </r>
  <r>
    <x v="54"/>
    <n v="6"/>
    <x v="7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56"/>
    <n v="15"/>
    <x v="8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7"/>
    <n v="8"/>
    <x v="9"/>
    <n v="68"/>
    <n v="13.600000000000001"/>
    <n v="37.400000000000006"/>
    <n v="17"/>
    <n v="102"/>
    <n v="20.399999999999999"/>
    <n v="10.199999999999999"/>
    <n v="56.1"/>
    <n v="10.200000000000001"/>
    <n v="15.299999999999999"/>
    <n v="7.1400000000000006"/>
    <n v="13.26"/>
  </r>
  <r>
    <x v="56"/>
    <n v="7"/>
    <x v="10"/>
    <n v="74"/>
    <n v="14.8"/>
    <n v="40.700000000000003"/>
    <n v="18.5"/>
    <n v="111"/>
    <n v="22.2"/>
    <n v="11.1"/>
    <n v="61.050000000000004"/>
    <n v="11.100000000000001"/>
    <n v="16.649999999999999"/>
    <n v="7.7700000000000005"/>
    <n v="14.43"/>
  </r>
  <r>
    <x v="56"/>
    <n v="10"/>
    <x v="1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6"/>
    <n v="21"/>
    <x v="1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6"/>
    <n v="14"/>
    <x v="13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56"/>
    <n v="5"/>
    <x v="14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58"/>
    <n v="12"/>
    <x v="15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8"/>
    <n v="19"/>
    <x v="1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8"/>
    <n v="4"/>
    <x v="0"/>
    <n v="20"/>
    <n v="4"/>
    <n v="11"/>
    <n v="5"/>
    <n v="30"/>
    <n v="6"/>
    <n v="3"/>
    <n v="16.5"/>
    <n v="3"/>
    <n v="4.5"/>
    <n v="2.1"/>
    <n v="3.9000000000000004"/>
  </r>
  <r>
    <x v="37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37"/>
    <n v="3"/>
    <x v="2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37"/>
    <n v="2"/>
    <x v="3"/>
    <n v="60"/>
    <n v="12"/>
    <n v="33"/>
    <n v="15"/>
    <n v="90"/>
    <n v="18"/>
    <n v="9"/>
    <n v="49.500000000000007"/>
    <n v="9"/>
    <n v="13.5"/>
    <n v="6.3000000000000007"/>
    <n v="11.700000000000001"/>
  </r>
  <r>
    <x v="58"/>
    <n v="1"/>
    <x v="4"/>
    <n v="40"/>
    <n v="8"/>
    <n v="22"/>
    <n v="10"/>
    <n v="60"/>
    <n v="12"/>
    <n v="6"/>
    <n v="33"/>
    <n v="6"/>
    <n v="9"/>
    <n v="4.2"/>
    <n v="7.8000000000000007"/>
  </r>
  <r>
    <x v="59"/>
    <n v="18"/>
    <x v="5"/>
    <n v="50"/>
    <n v="10"/>
    <n v="27.500000000000004"/>
    <n v="12.5"/>
    <n v="75"/>
    <n v="15"/>
    <n v="7.5"/>
    <n v="41.25"/>
    <n v="7.5"/>
    <n v="11.25"/>
    <n v="5.2500000000000009"/>
    <n v="9.75"/>
  </r>
  <r>
    <x v="59"/>
    <n v="4"/>
    <x v="0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59"/>
    <n v="16"/>
    <x v="1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60"/>
    <n v="3"/>
    <x v="2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60"/>
    <n v="2"/>
    <x v="3"/>
    <n v="56"/>
    <n v="11.200000000000001"/>
    <n v="30.800000000000004"/>
    <n v="14"/>
    <n v="84"/>
    <n v="16.8"/>
    <n v="8.4"/>
    <n v="46.2"/>
    <n v="8.4"/>
    <n v="12.6"/>
    <n v="5.8800000000000008"/>
    <n v="10.92"/>
  </r>
  <r>
    <x v="61"/>
    <n v="1"/>
    <x v="4"/>
    <n v="48"/>
    <n v="9.6000000000000014"/>
    <n v="26.400000000000002"/>
    <n v="12"/>
    <n v="72"/>
    <n v="14.399999999999999"/>
    <n v="7.1999999999999993"/>
    <n v="39.6"/>
    <n v="7.2"/>
    <n v="10.799999999999999"/>
    <n v="5.0400000000000009"/>
    <n v="9.36"/>
  </r>
  <r>
    <x v="61"/>
    <n v="18"/>
    <x v="5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61"/>
    <n v="9"/>
    <x v="6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61"/>
    <n v="6"/>
    <x v="7"/>
    <n v="33"/>
    <n v="6.6000000000000005"/>
    <n v="18.150000000000002"/>
    <n v="8.25"/>
    <n v="49.5"/>
    <n v="9.9"/>
    <n v="4.95"/>
    <n v="27.225000000000001"/>
    <n v="4.95"/>
    <n v="7.4249999999999998"/>
    <n v="3.4650000000000003"/>
    <n v="6.4350000000000005"/>
  </r>
  <r>
    <x v="58"/>
    <n v="15"/>
    <x v="8"/>
    <n v="34"/>
    <n v="6.8000000000000007"/>
    <n v="18.700000000000003"/>
    <n v="8.5"/>
    <n v="51"/>
    <n v="10.199999999999999"/>
    <n v="5.0999999999999996"/>
    <n v="28.05"/>
    <n v="5.1000000000000005"/>
    <n v="7.6499999999999995"/>
    <n v="3.5700000000000003"/>
    <n v="6.63"/>
  </r>
  <r>
    <x v="33"/>
    <n v="8"/>
    <x v="9"/>
    <n v="635"/>
    <n v="127"/>
    <n v="349.25"/>
    <n v="158.75"/>
    <n v="952.5"/>
    <n v="190.5"/>
    <n v="95.25"/>
    <n v="523.875"/>
    <n v="95.25"/>
    <n v="142.875"/>
    <n v="66.675000000000011"/>
    <n v="123.825"/>
  </r>
  <r>
    <x v="33"/>
    <n v="7"/>
    <x v="10"/>
    <n v="56"/>
    <n v="11.200000000000001"/>
    <n v="30.800000000000004"/>
    <n v="14"/>
    <n v="84"/>
    <n v="16.8"/>
    <n v="8.4"/>
    <n v="46.2"/>
    <n v="8.4"/>
    <n v="12.6"/>
    <n v="5.8800000000000008"/>
    <n v="10.92"/>
  </r>
  <r>
    <x v="33"/>
    <n v="10"/>
    <x v="11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62"/>
    <n v="21"/>
    <x v="12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3"/>
    <n v="14"/>
    <x v="13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63"/>
    <n v="5"/>
    <x v="14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4"/>
    <n v="12"/>
    <x v="15"/>
    <n v="60"/>
    <n v="12"/>
    <n v="33"/>
    <n v="15"/>
    <n v="90"/>
    <n v="18"/>
    <n v="9"/>
    <n v="49.500000000000007"/>
    <n v="9"/>
    <n v="13.5"/>
    <n v="6.3000000000000007"/>
    <n v="11.700000000000001"/>
  </r>
  <r>
    <x v="64"/>
    <n v="19"/>
    <x v="16"/>
    <n v="50"/>
    <n v="10"/>
    <n v="27.500000000000004"/>
    <n v="12.5"/>
    <n v="75"/>
    <n v="15"/>
    <n v="7.5"/>
    <n v="41.25"/>
    <n v="7.5"/>
    <n v="11.25"/>
    <n v="5.2500000000000009"/>
    <n v="9.75"/>
  </r>
  <r>
    <x v="64"/>
    <n v="17"/>
    <x v="17"/>
    <n v="40"/>
    <n v="8"/>
    <n v="22"/>
    <n v="10"/>
    <n v="60"/>
    <n v="12"/>
    <n v="6"/>
    <n v="33"/>
    <n v="6"/>
    <n v="9"/>
    <n v="4.2"/>
    <n v="7.8000000000000007"/>
  </r>
  <r>
    <x v="64"/>
    <n v="13"/>
    <x v="18"/>
    <n v="60"/>
    <n v="12"/>
    <n v="33"/>
    <n v="15"/>
    <n v="90"/>
    <n v="18"/>
    <n v="9"/>
    <n v="49.500000000000007"/>
    <n v="9"/>
    <n v="13.5"/>
    <n v="6.3000000000000007"/>
    <n v="11.700000000000001"/>
  </r>
  <r>
    <x v="65"/>
    <n v="20"/>
    <x v="19"/>
    <n v="30"/>
    <n v="6"/>
    <n v="16.5"/>
    <n v="7.5"/>
    <n v="45"/>
    <n v="9"/>
    <n v="4.5"/>
    <n v="24.750000000000004"/>
    <n v="4.5"/>
    <n v="6.75"/>
    <n v="3.1500000000000004"/>
    <n v="5.8500000000000005"/>
  </r>
  <r>
    <x v="38"/>
    <n v="11"/>
    <x v="20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38"/>
    <n v="20"/>
    <x v="19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38"/>
    <n v="4"/>
    <x v="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38"/>
    <n v="16"/>
    <x v="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6"/>
    <n v="3"/>
    <x v="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9"/>
    <n v="2"/>
    <x v="3"/>
    <n v="25"/>
    <n v="5"/>
    <n v="13.750000000000002"/>
    <n v="6.25"/>
    <n v="37.5"/>
    <n v="7.5"/>
    <n v="3.75"/>
    <n v="20.625"/>
    <n v="3.75"/>
    <n v="5.625"/>
    <n v="2.6250000000000004"/>
    <n v="4.875"/>
  </r>
  <r>
    <x v="59"/>
    <n v="1"/>
    <x v="4"/>
    <n v="36"/>
    <n v="7.2"/>
    <n v="19.8"/>
    <n v="9"/>
    <n v="54"/>
    <n v="10.799999999999999"/>
    <n v="5.3999999999999995"/>
    <n v="29.700000000000003"/>
    <n v="5.4"/>
    <n v="8.1"/>
    <n v="3.7800000000000002"/>
    <n v="7.0200000000000005"/>
  </r>
  <r>
    <x v="67"/>
    <n v="18"/>
    <x v="5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67"/>
    <n v="9"/>
    <x v="6"/>
    <n v="52"/>
    <n v="10.4"/>
    <n v="28.6"/>
    <n v="13"/>
    <n v="78"/>
    <n v="15.6"/>
    <n v="7.8"/>
    <n v="42.900000000000006"/>
    <n v="7.8000000000000007"/>
    <n v="11.7"/>
    <n v="5.4600000000000009"/>
    <n v="10.14"/>
  </r>
  <r>
    <x v="67"/>
    <n v="6"/>
    <x v="7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67"/>
    <n v="15"/>
    <x v="8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8"/>
    <n v="8"/>
    <x v="9"/>
    <n v="56"/>
    <n v="11.200000000000001"/>
    <n v="30.800000000000004"/>
    <n v="14"/>
    <n v="84"/>
    <n v="16.8"/>
    <n v="8.4"/>
    <n v="46.2"/>
    <n v="8.4"/>
    <n v="12.6"/>
    <n v="5.8800000000000008"/>
    <n v="10.92"/>
  </r>
  <r>
    <x v="69"/>
    <n v="7"/>
    <x v="1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70"/>
    <n v="10"/>
    <x v="11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71"/>
    <n v="21"/>
    <x v="12"/>
    <n v="28"/>
    <n v="5.6000000000000005"/>
    <n v="15.400000000000002"/>
    <n v="7"/>
    <n v="42"/>
    <n v="8.4"/>
    <n v="4.2"/>
    <n v="23.1"/>
    <n v="4.2"/>
    <n v="6.3"/>
    <n v="2.9400000000000004"/>
    <n v="5.46"/>
  </r>
  <r>
    <x v="71"/>
    <n v="14"/>
    <x v="13"/>
    <n v="14"/>
    <n v="2.8000000000000003"/>
    <n v="7.7000000000000011"/>
    <n v="3.5"/>
    <n v="21"/>
    <n v="4.2"/>
    <n v="2.1"/>
    <n v="11.55"/>
    <n v="2.1"/>
    <n v="3.15"/>
    <n v="1.4700000000000002"/>
    <n v="2.73"/>
  </r>
  <r>
    <x v="71"/>
    <n v="5"/>
    <x v="14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60"/>
    <n v="12"/>
    <x v="15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0"/>
    <n v="19"/>
    <x v="16"/>
    <n v="98"/>
    <n v="19.600000000000001"/>
    <n v="53.900000000000006"/>
    <n v="24.5"/>
    <n v="147"/>
    <n v="29.4"/>
    <n v="14.7"/>
    <n v="80.850000000000009"/>
    <n v="14.700000000000001"/>
    <n v="22.05"/>
    <n v="10.290000000000001"/>
    <n v="19.11"/>
  </r>
  <r>
    <x v="50"/>
    <n v="17"/>
    <x v="17"/>
    <n v="56"/>
    <n v="11.200000000000001"/>
    <n v="30.800000000000004"/>
    <n v="14"/>
    <n v="84"/>
    <n v="16.8"/>
    <n v="8.4"/>
    <n v="46.2"/>
    <n v="8.4"/>
    <n v="12.6"/>
    <n v="5.8800000000000008"/>
    <n v="10.92"/>
  </r>
  <r>
    <x v="72"/>
    <n v="13"/>
    <x v="18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34"/>
    <n v="20"/>
    <x v="19"/>
    <n v="44"/>
    <n v="8.8000000000000007"/>
    <n v="24.200000000000003"/>
    <n v="11"/>
    <n v="66"/>
    <n v="13.2"/>
    <n v="6.6"/>
    <n v="36.300000000000004"/>
    <n v="6.6000000000000005"/>
    <n v="9.9"/>
    <n v="4.62"/>
    <n v="8.58"/>
  </r>
  <r>
    <x v="34"/>
    <n v="4"/>
    <x v="0"/>
    <n v="10"/>
    <n v="2"/>
    <n v="5.5"/>
    <n v="2.5"/>
    <n v="15"/>
    <n v="3"/>
    <n v="1.5"/>
    <n v="8.25"/>
    <n v="1.5"/>
    <n v="2.25"/>
    <n v="1.05"/>
    <n v="1.9500000000000002"/>
  </r>
  <r>
    <x v="34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34"/>
    <n v="3"/>
    <x v="2"/>
    <n v="80"/>
    <n v="16"/>
    <n v="44"/>
    <n v="20"/>
    <n v="120"/>
    <n v="24"/>
    <n v="12"/>
    <n v="66"/>
    <n v="12"/>
    <n v="18"/>
    <n v="8.4"/>
    <n v="15.600000000000001"/>
  </r>
  <r>
    <x v="61"/>
    <n v="2"/>
    <x v="3"/>
    <n v="99"/>
    <n v="19.8"/>
    <n v="54.45"/>
    <n v="24.75"/>
    <n v="148.5"/>
    <n v="29.7"/>
    <n v="14.85"/>
    <n v="81.675000000000011"/>
    <n v="14.850000000000001"/>
    <n v="22.274999999999999"/>
    <n v="10.395000000000001"/>
    <n v="19.305"/>
  </r>
  <r>
    <x v="34"/>
    <n v="1"/>
    <x v="4"/>
    <n v="80"/>
    <n v="16"/>
    <n v="44"/>
    <n v="20"/>
    <n v="120"/>
    <n v="24"/>
    <n v="12"/>
    <n v="66"/>
    <n v="12"/>
    <n v="18"/>
    <n v="8.4"/>
    <n v="15.600000000000001"/>
  </r>
  <r>
    <x v="35"/>
    <n v="18"/>
    <x v="5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35"/>
    <n v="9"/>
    <x v="6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35"/>
    <n v="6"/>
    <x v="7"/>
    <n v="78"/>
    <n v="15.600000000000001"/>
    <n v="42.900000000000006"/>
    <n v="19.5"/>
    <n v="117"/>
    <n v="23.4"/>
    <n v="11.7"/>
    <n v="64.350000000000009"/>
    <n v="11.700000000000001"/>
    <n v="17.55"/>
    <n v="8.1900000000000013"/>
    <n v="15.21"/>
  </r>
  <r>
    <x v="35"/>
    <n v="15"/>
    <x v="8"/>
    <n v="56"/>
    <n v="11.200000000000001"/>
    <n v="30.800000000000004"/>
    <n v="14"/>
    <n v="84"/>
    <n v="16.8"/>
    <n v="8.4"/>
    <n v="46.2"/>
    <n v="8.4"/>
    <n v="12.6"/>
    <n v="5.8800000000000008"/>
    <n v="10.92"/>
  </r>
  <r>
    <x v="62"/>
    <n v="8"/>
    <x v="9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64"/>
    <n v="7"/>
    <x v="10"/>
    <n v="14"/>
    <n v="2.8000000000000003"/>
    <n v="7.7000000000000011"/>
    <n v="3.5"/>
    <n v="21"/>
    <n v="4.2"/>
    <n v="2.1"/>
    <n v="11.55"/>
    <n v="2.1"/>
    <n v="3.15"/>
    <n v="1.4700000000000002"/>
    <n v="2.73"/>
  </r>
  <r>
    <x v="54"/>
    <n v="10"/>
    <x v="11"/>
    <n v="52"/>
    <n v="10.4"/>
    <n v="28.6"/>
    <n v="13"/>
    <n v="78"/>
    <n v="15.6"/>
    <n v="7.8"/>
    <n v="42.900000000000006"/>
    <n v="7.8000000000000007"/>
    <n v="11.7"/>
    <n v="5.4600000000000009"/>
    <n v="10.14"/>
  </r>
  <r>
    <x v="54"/>
    <n v="21"/>
    <x v="12"/>
    <n v="52"/>
    <n v="10.4"/>
    <n v="28.6"/>
    <n v="13"/>
    <n v="78"/>
    <n v="15.6"/>
    <n v="7.8"/>
    <n v="42.900000000000006"/>
    <n v="7.8000000000000007"/>
    <n v="11.7"/>
    <n v="5.4600000000000009"/>
    <n v="10.14"/>
  </r>
  <r>
    <x v="54"/>
    <n v="14"/>
    <x v="13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54"/>
    <n v="5"/>
    <x v="14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4"/>
    <n v="12"/>
    <x v="15"/>
    <n v="68"/>
    <n v="13.600000000000001"/>
    <n v="37.400000000000006"/>
    <n v="17"/>
    <n v="102"/>
    <n v="20.399999999999999"/>
    <n v="10.199999999999999"/>
    <n v="56.1"/>
    <n v="10.200000000000001"/>
    <n v="15.299999999999999"/>
    <n v="7.1400000000000006"/>
    <n v="13.26"/>
  </r>
  <r>
    <x v="37"/>
    <n v="19"/>
    <x v="16"/>
    <n v="74"/>
    <n v="14.8"/>
    <n v="40.700000000000003"/>
    <n v="18.5"/>
    <n v="111"/>
    <n v="22.2"/>
    <n v="11.1"/>
    <n v="61.050000000000004"/>
    <n v="11.100000000000001"/>
    <n v="16.649999999999999"/>
    <n v="7.7700000000000005"/>
    <n v="14.43"/>
  </r>
  <r>
    <x v="37"/>
    <n v="17"/>
    <x v="17"/>
    <n v="30"/>
    <n v="6"/>
    <n v="16.5"/>
    <n v="7.5"/>
    <n v="45"/>
    <n v="9"/>
    <n v="4.5"/>
    <n v="24.750000000000004"/>
    <n v="4.5"/>
    <n v="6.75"/>
    <n v="3.1500000000000004"/>
    <n v="5.8500000000000005"/>
  </r>
  <r>
    <x v="38"/>
    <n v="13"/>
    <x v="18"/>
    <n v="40"/>
    <n v="8"/>
    <n v="22"/>
    <n v="10"/>
    <n v="60"/>
    <n v="12"/>
    <n v="6"/>
    <n v="33"/>
    <n v="6"/>
    <n v="9"/>
    <n v="4.2"/>
    <n v="7.8000000000000007"/>
  </r>
  <r>
    <x v="38"/>
    <n v="20"/>
    <x v="19"/>
    <n v="30"/>
    <n v="6"/>
    <n v="16.5"/>
    <n v="7.5"/>
    <n v="45"/>
    <n v="9"/>
    <n v="4.5"/>
    <n v="24.750000000000004"/>
    <n v="4.5"/>
    <n v="6.75"/>
    <n v="3.1500000000000004"/>
    <n v="5.8500000000000005"/>
  </r>
  <r>
    <x v="38"/>
    <n v="11"/>
    <x v="20"/>
    <n v="20"/>
    <n v="4"/>
    <n v="11"/>
    <n v="5"/>
    <n v="30"/>
    <n v="6"/>
    <n v="3"/>
    <n v="16.5"/>
    <n v="3"/>
    <n v="4.5"/>
    <n v="2.1"/>
    <n v="3.9000000000000004"/>
  </r>
  <r>
    <x v="73"/>
    <n v="4"/>
    <x v="0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39"/>
    <n v="4"/>
    <x v="0"/>
    <n v="50"/>
    <n v="10"/>
    <n v="27.500000000000004"/>
    <n v="12.5"/>
    <n v="75"/>
    <n v="15"/>
    <n v="7.5"/>
    <n v="41.25"/>
    <n v="7.5"/>
    <n v="11.25"/>
    <n v="5.2500000000000009"/>
    <n v="9.75"/>
  </r>
  <r>
    <x v="73"/>
    <n v="16"/>
    <x v="1"/>
    <n v="60"/>
    <n v="12"/>
    <n v="33"/>
    <n v="15"/>
    <n v="90"/>
    <n v="18"/>
    <n v="9"/>
    <n v="49.500000000000007"/>
    <n v="9"/>
    <n v="13.5"/>
    <n v="6.3000000000000007"/>
    <n v="11.700000000000001"/>
  </r>
  <r>
    <x v="39"/>
    <n v="3"/>
    <x v="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67"/>
    <n v="2"/>
    <x v="3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0"/>
    <n v="1"/>
    <x v="4"/>
    <n v="57"/>
    <n v="11.4"/>
    <n v="31.35"/>
    <n v="14.25"/>
    <n v="85.5"/>
    <n v="17.099999999999998"/>
    <n v="8.5499999999999989"/>
    <n v="47.025000000000006"/>
    <n v="8.5500000000000007"/>
    <n v="12.824999999999999"/>
    <n v="5.9850000000000003"/>
    <n v="11.115"/>
  </r>
  <r>
    <x v="68"/>
    <n v="18"/>
    <x v="5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68"/>
    <n v="9"/>
    <x v="6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2"/>
    <n v="6"/>
    <x v="7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69"/>
    <n v="15"/>
    <x v="8"/>
    <n v="78"/>
    <n v="15.600000000000001"/>
    <n v="42.900000000000006"/>
    <n v="19.5"/>
    <n v="117"/>
    <n v="23.4"/>
    <n v="11.7"/>
    <n v="64.350000000000009"/>
    <n v="11.700000000000001"/>
    <n v="17.55"/>
    <n v="8.1900000000000013"/>
    <n v="15.21"/>
  </r>
  <r>
    <x v="70"/>
    <n v="8"/>
    <x v="9"/>
    <n v="80"/>
    <n v="16"/>
    <n v="44"/>
    <n v="20"/>
    <n v="120"/>
    <n v="24"/>
    <n v="12"/>
    <n v="66"/>
    <n v="12"/>
    <n v="18"/>
    <n v="8.4"/>
    <n v="15.600000000000001"/>
  </r>
  <r>
    <x v="70"/>
    <n v="7"/>
    <x v="10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70"/>
    <n v="10"/>
    <x v="11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70"/>
    <n v="21"/>
    <x v="1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70"/>
    <n v="14"/>
    <x v="13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39"/>
    <n v="5"/>
    <x v="14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74"/>
    <n v="12"/>
    <x v="15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74"/>
    <n v="19"/>
    <x v="16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74"/>
    <n v="17"/>
    <x v="17"/>
    <n v="20"/>
    <n v="4"/>
    <n v="11"/>
    <n v="5"/>
    <n v="30"/>
    <n v="6"/>
    <n v="3"/>
    <n v="16.5"/>
    <n v="3"/>
    <n v="4.5"/>
    <n v="2.1"/>
    <n v="3.9000000000000004"/>
  </r>
  <r>
    <x v="74"/>
    <n v="13"/>
    <x v="18"/>
    <n v="60"/>
    <n v="12"/>
    <n v="33"/>
    <n v="15"/>
    <n v="90"/>
    <n v="18"/>
    <n v="9"/>
    <n v="49.500000000000007"/>
    <n v="9"/>
    <n v="13.5"/>
    <n v="6.3000000000000007"/>
    <n v="11.700000000000001"/>
  </r>
  <r>
    <x v="74"/>
    <n v="20"/>
    <x v="19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71"/>
    <n v="11"/>
    <x v="20"/>
    <n v="60"/>
    <n v="12"/>
    <n v="33"/>
    <n v="15"/>
    <n v="90"/>
    <n v="18"/>
    <n v="9"/>
    <n v="49.500000000000007"/>
    <n v="9"/>
    <n v="13.5"/>
    <n v="6.3000000000000007"/>
    <n v="11.700000000000001"/>
  </r>
  <r>
    <x v="71"/>
    <n v="3"/>
    <x v="2"/>
    <n v="40"/>
    <n v="8"/>
    <n v="22"/>
    <n v="10"/>
    <n v="60"/>
    <n v="12"/>
    <n v="6"/>
    <n v="33"/>
    <n v="6"/>
    <n v="9"/>
    <n v="4.2"/>
    <n v="7.8000000000000007"/>
  </r>
  <r>
    <x v="71"/>
    <n v="2"/>
    <x v="3"/>
    <n v="50"/>
    <n v="10"/>
    <n v="27.500000000000004"/>
    <n v="12.5"/>
    <n v="75"/>
    <n v="15"/>
    <n v="7.5"/>
    <n v="41.25"/>
    <n v="7.5"/>
    <n v="11.25"/>
    <n v="5.2500000000000009"/>
    <n v="9.75"/>
  </r>
  <r>
    <x v="45"/>
    <n v="1"/>
    <x v="4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45"/>
    <n v="18"/>
    <x v="5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45"/>
    <n v="9"/>
    <x v="6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40"/>
    <n v="6"/>
    <x v="7"/>
    <n v="30"/>
    <n v="6"/>
    <n v="16.5"/>
    <n v="7.5"/>
    <n v="45"/>
    <n v="9"/>
    <n v="4.5"/>
    <n v="24.750000000000004"/>
    <n v="4.5"/>
    <n v="6.75"/>
    <n v="3.1500000000000004"/>
    <n v="5.8500000000000005"/>
  </r>
  <r>
    <x v="42"/>
    <n v="15"/>
    <x v="8"/>
    <n v="40"/>
    <n v="8"/>
    <n v="22"/>
    <n v="10"/>
    <n v="60"/>
    <n v="12"/>
    <n v="6"/>
    <n v="33"/>
    <n v="6"/>
    <n v="9"/>
    <n v="4.2"/>
    <n v="7.8000000000000007"/>
  </r>
  <r>
    <x v="42"/>
    <n v="8"/>
    <x v="9"/>
    <n v="30"/>
    <n v="6"/>
    <n v="16.5"/>
    <n v="7.5"/>
    <n v="45"/>
    <n v="9"/>
    <n v="4.5"/>
    <n v="24.750000000000004"/>
    <n v="4.5"/>
    <n v="6.75"/>
    <n v="3.1500000000000004"/>
    <n v="5.8500000000000005"/>
  </r>
  <r>
    <x v="42"/>
    <n v="7"/>
    <x v="10"/>
    <n v="20"/>
    <n v="4"/>
    <n v="11"/>
    <n v="5"/>
    <n v="30"/>
    <n v="6"/>
    <n v="3"/>
    <n v="16.5"/>
    <n v="3"/>
    <n v="4.5"/>
    <n v="2.1"/>
    <n v="3.9000000000000004"/>
  </r>
  <r>
    <x v="42"/>
    <n v="10"/>
    <x v="11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41"/>
    <n v="21"/>
    <x v="12"/>
    <n v="50"/>
    <n v="10"/>
    <n v="27.500000000000004"/>
    <n v="12.5"/>
    <n v="75"/>
    <n v="15"/>
    <n v="7.5"/>
    <n v="41.25"/>
    <n v="7.5"/>
    <n v="11.25"/>
    <n v="5.2500000000000009"/>
    <n v="9.75"/>
  </r>
  <r>
    <x v="46"/>
    <n v="14"/>
    <x v="13"/>
    <n v="60"/>
    <n v="12"/>
    <n v="33"/>
    <n v="15"/>
    <n v="90"/>
    <n v="18"/>
    <n v="9"/>
    <n v="49.500000000000007"/>
    <n v="9"/>
    <n v="13.5"/>
    <n v="6.3000000000000007"/>
    <n v="11.700000000000001"/>
  </r>
  <r>
    <x v="46"/>
    <n v="5"/>
    <x v="14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6"/>
    <n v="12"/>
    <x v="15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6"/>
    <n v="19"/>
    <x v="16"/>
    <n v="57"/>
    <n v="11.4"/>
    <n v="31.35"/>
    <n v="14.25"/>
    <n v="85.5"/>
    <n v="17.099999999999998"/>
    <n v="8.5499999999999989"/>
    <n v="47.025000000000006"/>
    <n v="8.5500000000000007"/>
    <n v="12.824999999999999"/>
    <n v="5.9850000000000003"/>
    <n v="11.115"/>
  </r>
  <r>
    <x v="43"/>
    <n v="17"/>
    <x v="17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43"/>
    <n v="13"/>
    <x v="18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3"/>
    <n v="20"/>
    <x v="19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47"/>
    <n v="11"/>
    <x v="20"/>
    <n v="78"/>
    <n v="15.600000000000001"/>
    <n v="42.900000000000006"/>
    <n v="19.5"/>
    <n v="117"/>
    <n v="23.4"/>
    <n v="11.7"/>
    <n v="64.350000000000009"/>
    <n v="11.700000000000001"/>
    <n v="17.55"/>
    <n v="8.1900000000000013"/>
    <n v="15.21"/>
  </r>
  <r>
    <x v="47"/>
    <n v="18"/>
    <x v="5"/>
    <n v="80"/>
    <n v="16"/>
    <n v="44"/>
    <n v="20"/>
    <n v="120"/>
    <n v="24"/>
    <n v="12"/>
    <n v="66"/>
    <n v="12"/>
    <n v="18"/>
    <n v="8.4"/>
    <n v="15.600000000000001"/>
  </r>
  <r>
    <x v="47"/>
    <n v="9"/>
    <x v="6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47"/>
    <n v="6"/>
    <x v="7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47"/>
    <n v="15"/>
    <x v="8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7"/>
    <n v="8"/>
    <x v="9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7"/>
    <n v="7"/>
    <x v="10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44"/>
    <n v="10"/>
    <x v="11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8"/>
    <n v="21"/>
    <x v="12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48"/>
    <n v="14"/>
    <x v="13"/>
    <n v="20"/>
    <n v="4"/>
    <n v="11"/>
    <n v="5"/>
    <n v="30"/>
    <n v="6"/>
    <n v="3"/>
    <n v="16.5"/>
    <n v="3"/>
    <n v="4.5"/>
    <n v="2.1"/>
    <n v="3.9000000000000004"/>
  </r>
  <r>
    <x v="48"/>
    <n v="5"/>
    <x v="14"/>
    <n v="60"/>
    <n v="12"/>
    <n v="33"/>
    <n v="15"/>
    <n v="90"/>
    <n v="18"/>
    <n v="9"/>
    <n v="49.500000000000007"/>
    <n v="9"/>
    <n v="13.5"/>
    <n v="6.3000000000000007"/>
    <n v="11.700000000000001"/>
  </r>
  <r>
    <x v="48"/>
    <n v="12"/>
    <x v="15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48"/>
    <n v="19"/>
    <x v="16"/>
    <n v="60"/>
    <n v="12"/>
    <n v="33"/>
    <n v="15"/>
    <n v="90"/>
    <n v="18"/>
    <n v="9"/>
    <n v="49.500000000000007"/>
    <n v="9"/>
    <n v="13.5"/>
    <n v="6.3000000000000007"/>
    <n v="11.700000000000001"/>
  </r>
  <r>
    <x v="48"/>
    <n v="17"/>
    <x v="17"/>
    <n v="40"/>
    <n v="8"/>
    <n v="22"/>
    <n v="10"/>
    <n v="60"/>
    <n v="12"/>
    <n v="6"/>
    <n v="33"/>
    <n v="6"/>
    <n v="9"/>
    <n v="4.2"/>
    <n v="7.8000000000000007"/>
  </r>
  <r>
    <x v="45"/>
    <n v="13"/>
    <x v="18"/>
    <n v="50"/>
    <n v="10"/>
    <n v="27.500000000000004"/>
    <n v="12.5"/>
    <n v="75"/>
    <n v="15"/>
    <n v="7.5"/>
    <n v="41.25"/>
    <n v="7.5"/>
    <n v="11.25"/>
    <n v="5.2500000000000009"/>
    <n v="9.75"/>
  </r>
  <r>
    <x v="45"/>
    <n v="20"/>
    <x v="19"/>
    <n v="22"/>
    <n v="4.4000000000000004"/>
    <n v="12.100000000000001"/>
    <n v="5.5"/>
    <n v="33"/>
    <n v="6.6"/>
    <n v="3.3"/>
    <n v="18.150000000000002"/>
    <n v="3.3000000000000003"/>
    <n v="4.95"/>
    <n v="2.31"/>
    <n v="4.29"/>
  </r>
  <r>
    <x v="45"/>
    <n v="11"/>
    <x v="20"/>
    <n v="35"/>
    <n v="7"/>
    <n v="19.25"/>
    <n v="8.75"/>
    <n v="52.5"/>
    <n v="10.5"/>
    <n v="5.25"/>
    <n v="28.875000000000004"/>
    <n v="5.25"/>
    <n v="7.875"/>
    <n v="3.6750000000000003"/>
    <n v="6.8250000000000002"/>
  </r>
  <r>
    <x v="45"/>
    <n v="6"/>
    <x v="7"/>
    <n v="54"/>
    <n v="10.8"/>
    <n v="29.700000000000003"/>
    <n v="13.5"/>
    <n v="81"/>
    <n v="16.2"/>
    <n v="8.1"/>
    <n v="44.550000000000004"/>
    <n v="8.1"/>
    <n v="12.15"/>
    <n v="5.6700000000000008"/>
    <n v="10.530000000000001"/>
  </r>
  <r>
    <x v="75"/>
    <n v="15"/>
    <x v="8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75"/>
    <n v="8"/>
    <x v="9"/>
    <n v="60"/>
    <n v="12"/>
    <n v="33"/>
    <n v="15"/>
    <n v="90"/>
    <n v="18"/>
    <n v="9"/>
    <n v="49.500000000000007"/>
    <n v="9"/>
    <n v="13.5"/>
    <n v="6.3000000000000007"/>
    <n v="11.700000000000001"/>
  </r>
  <r>
    <x v="75"/>
    <n v="7"/>
    <x v="10"/>
    <n v="50"/>
    <n v="10"/>
    <n v="27.500000000000004"/>
    <n v="12.5"/>
    <n v="75"/>
    <n v="15"/>
    <n v="7.5"/>
    <n v="41.25"/>
    <n v="7.5"/>
    <n v="11.25"/>
    <n v="5.2500000000000009"/>
    <n v="9.75"/>
  </r>
  <r>
    <x v="75"/>
    <n v="10"/>
    <x v="11"/>
    <n v="40"/>
    <n v="8"/>
    <n v="22"/>
    <n v="10"/>
    <n v="60"/>
    <n v="12"/>
    <n v="6"/>
    <n v="33"/>
    <n v="6"/>
    <n v="9"/>
    <n v="4.2"/>
    <n v="7.8000000000000007"/>
  </r>
  <r>
    <x v="46"/>
    <n v="21"/>
    <x v="12"/>
    <n v="60"/>
    <n v="12"/>
    <n v="33"/>
    <n v="15"/>
    <n v="90"/>
    <n v="18"/>
    <n v="9"/>
    <n v="49.500000000000007"/>
    <n v="9"/>
    <n v="13.5"/>
    <n v="6.3000000000000007"/>
    <n v="11.700000000000001"/>
  </r>
  <r>
    <x v="47"/>
    <n v="14"/>
    <x v="13"/>
    <n v="30"/>
    <n v="6"/>
    <n v="16.5"/>
    <n v="7.5"/>
    <n v="45"/>
    <n v="9"/>
    <n v="4.5"/>
    <n v="24.750000000000004"/>
    <n v="4.5"/>
    <n v="6.75"/>
    <n v="3.1500000000000004"/>
    <n v="5.8500000000000005"/>
  </r>
  <r>
    <x v="53"/>
    <n v="5"/>
    <x v="14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9"/>
    <n v="12"/>
    <x v="15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48"/>
    <n v="19"/>
    <x v="16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1"/>
    <n v="17"/>
    <x v="17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5"/>
    <n v="13"/>
    <x v="18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6"/>
    <n v="20"/>
    <x v="19"/>
    <n v="25"/>
    <n v="5"/>
    <n v="13.750000000000002"/>
    <n v="6.25"/>
    <n v="37.5"/>
    <n v="7.5"/>
    <n v="3.75"/>
    <n v="20.625"/>
    <n v="3.75"/>
    <n v="5.625"/>
    <n v="2.6250000000000004"/>
    <n v="4.875"/>
  </r>
  <r>
    <x v="75"/>
    <n v="11"/>
    <x v="20"/>
    <n v="36"/>
    <n v="7.2"/>
    <n v="19.8"/>
    <n v="9"/>
    <n v="54"/>
    <n v="10.799999999999999"/>
    <n v="5.3999999999999995"/>
    <n v="29.700000000000003"/>
    <n v="5.4"/>
    <n v="8.1"/>
    <n v="3.7800000000000002"/>
    <n v="7.0200000000000005"/>
  </r>
  <r>
    <x v="75"/>
    <n v="6"/>
    <x v="7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75"/>
    <n v="15"/>
    <x v="8"/>
    <n v="52"/>
    <n v="10.4"/>
    <n v="28.6"/>
    <n v="13"/>
    <n v="78"/>
    <n v="15.6"/>
    <n v="7.8"/>
    <n v="42.900000000000006"/>
    <n v="7.8000000000000007"/>
    <n v="11.7"/>
    <n v="5.4600000000000009"/>
    <n v="10.14"/>
  </r>
  <r>
    <x v="76"/>
    <n v="8"/>
    <x v="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3"/>
    <n v="7"/>
    <x v="10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53"/>
    <n v="10"/>
    <x v="11"/>
    <n v="56"/>
    <n v="11.200000000000001"/>
    <n v="30.800000000000004"/>
    <n v="14"/>
    <n v="84"/>
    <n v="16.8"/>
    <n v="8.4"/>
    <n v="46.2"/>
    <n v="8.4"/>
    <n v="12.6"/>
    <n v="5.8800000000000008"/>
    <n v="10.92"/>
  </r>
  <r>
    <x v="60"/>
    <n v="21"/>
    <x v="12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0"/>
    <n v="14"/>
    <x v="13"/>
    <n v="15"/>
    <n v="3"/>
    <n v="8.25"/>
    <n v="3.75"/>
    <n v="22.5"/>
    <n v="4.5"/>
    <n v="2.25"/>
    <n v="12.375000000000002"/>
    <n v="2.25"/>
    <n v="3.375"/>
    <n v="1.5750000000000002"/>
    <n v="2.9250000000000003"/>
  </r>
  <r>
    <x v="61"/>
    <n v="5"/>
    <x v="14"/>
    <n v="28"/>
    <n v="5.6000000000000005"/>
    <n v="15.400000000000002"/>
    <n v="7"/>
    <n v="42"/>
    <n v="8.4"/>
    <n v="4.2"/>
    <n v="23.1"/>
    <n v="4.2"/>
    <n v="6.3"/>
    <n v="2.9400000000000004"/>
    <n v="5.46"/>
  </r>
  <r>
    <x v="61"/>
    <n v="12"/>
    <x v="15"/>
    <n v="14"/>
    <n v="2.8000000000000003"/>
    <n v="7.7000000000000011"/>
    <n v="3.5"/>
    <n v="21"/>
    <n v="4.2"/>
    <n v="2.1"/>
    <n v="11.55"/>
    <n v="2.1"/>
    <n v="3.15"/>
    <n v="1.4700000000000002"/>
    <n v="2.73"/>
  </r>
  <r>
    <x v="61"/>
    <n v="19"/>
    <x v="16"/>
    <n v="12"/>
    <n v="2.4000000000000004"/>
    <n v="6.6000000000000005"/>
    <n v="3"/>
    <n v="18"/>
    <n v="3.5999999999999996"/>
    <n v="1.7999999999999998"/>
    <n v="9.9"/>
    <n v="1.8"/>
    <n v="2.6999999999999997"/>
    <n v="1.2600000000000002"/>
    <n v="2.34"/>
  </r>
  <r>
    <x v="62"/>
    <n v="17"/>
    <x v="17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2"/>
    <n v="13"/>
    <x v="18"/>
    <n v="98"/>
    <n v="19.600000000000001"/>
    <n v="53.900000000000006"/>
    <n v="24.5"/>
    <n v="147"/>
    <n v="29.4"/>
    <n v="14.7"/>
    <n v="80.850000000000009"/>
    <n v="14.700000000000001"/>
    <n v="22.05"/>
    <n v="10.290000000000001"/>
    <n v="19.11"/>
  </r>
  <r>
    <x v="63"/>
    <n v="20"/>
    <x v="19"/>
    <n v="56"/>
    <n v="11.200000000000001"/>
    <n v="30.800000000000004"/>
    <n v="14"/>
    <n v="84"/>
    <n v="16.8"/>
    <n v="8.4"/>
    <n v="46.2"/>
    <n v="8.4"/>
    <n v="12.6"/>
    <n v="5.8800000000000008"/>
    <n v="10.92"/>
  </r>
  <r>
    <x v="64"/>
    <n v="11"/>
    <x v="20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64"/>
    <n v="2"/>
    <x v="3"/>
    <n v="44"/>
    <n v="8.8000000000000007"/>
    <n v="24.200000000000003"/>
    <n v="11"/>
    <n v="66"/>
    <n v="13.2"/>
    <n v="6.6"/>
    <n v="36.300000000000004"/>
    <n v="6.6000000000000005"/>
    <n v="9.9"/>
    <n v="4.62"/>
    <n v="8.58"/>
  </r>
  <r>
    <x v="64"/>
    <n v="1"/>
    <x v="4"/>
    <n v="10"/>
    <n v="2"/>
    <n v="5.5"/>
    <n v="2.5"/>
    <n v="15"/>
    <n v="3"/>
    <n v="1.5"/>
    <n v="8.25"/>
    <n v="1.5"/>
    <n v="2.25"/>
    <n v="1.05"/>
    <n v="1.9500000000000002"/>
  </r>
  <r>
    <x v="64"/>
    <n v="18"/>
    <x v="5"/>
    <n v="60"/>
    <n v="12"/>
    <n v="33"/>
    <n v="15"/>
    <n v="90"/>
    <n v="18"/>
    <n v="9"/>
    <n v="49.500000000000007"/>
    <n v="9"/>
    <n v="13.5"/>
    <n v="6.3000000000000007"/>
    <n v="11.700000000000001"/>
  </r>
  <r>
    <x v="64"/>
    <n v="9"/>
    <x v="6"/>
    <n v="80"/>
    <n v="16"/>
    <n v="44"/>
    <n v="20"/>
    <n v="120"/>
    <n v="24"/>
    <n v="12"/>
    <n v="66"/>
    <n v="12"/>
    <n v="18"/>
    <n v="8.4"/>
    <n v="15.600000000000001"/>
  </r>
  <r>
    <x v="65"/>
    <n v="6"/>
    <x v="7"/>
    <n v="99"/>
    <n v="19.8"/>
    <n v="54.45"/>
    <n v="24.75"/>
    <n v="148.5"/>
    <n v="29.7"/>
    <n v="14.85"/>
    <n v="81.675000000000011"/>
    <n v="14.850000000000001"/>
    <n v="22.274999999999999"/>
    <n v="10.395000000000001"/>
    <n v="19.305"/>
  </r>
  <r>
    <x v="65"/>
    <n v="15"/>
    <x v="8"/>
    <n v="80"/>
    <n v="16"/>
    <n v="44"/>
    <n v="20"/>
    <n v="120"/>
    <n v="24"/>
    <n v="12"/>
    <n v="66"/>
    <n v="12"/>
    <n v="18"/>
    <n v="8.4"/>
    <n v="15.600000000000001"/>
  </r>
  <r>
    <x v="65"/>
    <n v="8"/>
    <x v="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65"/>
    <n v="7"/>
    <x v="10"/>
    <n v="23"/>
    <n v="4.6000000000000005"/>
    <n v="12.65"/>
    <n v="5.75"/>
    <n v="34.5"/>
    <n v="6.8999999999999995"/>
    <n v="3.4499999999999997"/>
    <n v="18.975000000000001"/>
    <n v="3.45"/>
    <n v="5.1749999999999998"/>
    <n v="2.415"/>
    <n v="4.4850000000000003"/>
  </r>
  <r>
    <x v="65"/>
    <n v="10"/>
    <x v="11"/>
    <n v="78"/>
    <n v="15.600000000000001"/>
    <n v="42.900000000000006"/>
    <n v="19.5"/>
    <n v="117"/>
    <n v="23.4"/>
    <n v="11.7"/>
    <n v="64.350000000000009"/>
    <n v="11.700000000000001"/>
    <n v="17.55"/>
    <n v="8.1900000000000013"/>
    <n v="15.21"/>
  </r>
  <r>
    <x v="66"/>
    <n v="21"/>
    <x v="12"/>
    <n v="56"/>
    <n v="11.200000000000001"/>
    <n v="30.800000000000004"/>
    <n v="14"/>
    <n v="84"/>
    <n v="16.8"/>
    <n v="8.4"/>
    <n v="46.2"/>
    <n v="8.4"/>
    <n v="12.6"/>
    <n v="5.8800000000000008"/>
    <n v="10.92"/>
  </r>
  <r>
    <x v="49"/>
    <n v="14"/>
    <x v="13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66"/>
    <n v="5"/>
    <x v="14"/>
    <n v="14"/>
    <n v="2.8000000000000003"/>
    <n v="7.7000000000000011"/>
    <n v="3.5"/>
    <n v="21"/>
    <n v="4.2"/>
    <n v="2.1"/>
    <n v="11.55"/>
    <n v="2.1"/>
    <n v="3.15"/>
    <n v="1.4700000000000002"/>
    <n v="2.73"/>
  </r>
  <r>
    <x v="66"/>
    <n v="12"/>
    <x v="15"/>
    <n v="52"/>
    <n v="10.4"/>
    <n v="28.6"/>
    <n v="13"/>
    <n v="78"/>
    <n v="15.6"/>
    <n v="7.8"/>
    <n v="42.900000000000006"/>
    <n v="7.8000000000000007"/>
    <n v="11.7"/>
    <n v="5.4600000000000009"/>
    <n v="10.14"/>
  </r>
  <r>
    <x v="67"/>
    <n v="19"/>
    <x v="16"/>
    <n v="52"/>
    <n v="10.4"/>
    <n v="28.6"/>
    <n v="13"/>
    <n v="78"/>
    <n v="15.6"/>
    <n v="7.8"/>
    <n v="42.900000000000006"/>
    <n v="7.8000000000000007"/>
    <n v="11.7"/>
    <n v="5.4600000000000009"/>
    <n v="10.14"/>
  </r>
  <r>
    <x v="67"/>
    <n v="17"/>
    <x v="17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51"/>
    <n v="13"/>
    <x v="18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8"/>
    <n v="20"/>
    <x v="19"/>
    <n v="68"/>
    <n v="13.600000000000001"/>
    <n v="37.400000000000006"/>
    <n v="17"/>
    <n v="102"/>
    <n v="20.399999999999999"/>
    <n v="10.199999999999999"/>
    <n v="56.1"/>
    <n v="10.200000000000001"/>
    <n v="15.299999999999999"/>
    <n v="7.1400000000000006"/>
    <n v="13.26"/>
  </r>
  <r>
    <x v="55"/>
    <n v="11"/>
    <x v="20"/>
    <n v="74"/>
    <n v="14.8"/>
    <n v="40.700000000000003"/>
    <n v="18.5"/>
    <n v="111"/>
    <n v="22.2"/>
    <n v="11.1"/>
    <n v="61.050000000000004"/>
    <n v="11.100000000000001"/>
    <n v="16.649999999999999"/>
    <n v="7.7700000000000005"/>
    <n v="14.43"/>
  </r>
  <r>
    <x v="56"/>
    <n v="2"/>
    <x v="3"/>
    <n v="85"/>
    <n v="17"/>
    <n v="46.750000000000007"/>
    <n v="21.25"/>
    <n v="127.5"/>
    <n v="25.5"/>
    <n v="12.75"/>
    <n v="70.125"/>
    <n v="12.75"/>
    <n v="19.125"/>
    <n v="8.9250000000000007"/>
    <n v="16.574999999999999"/>
  </r>
  <r>
    <x v="58"/>
    <n v="1"/>
    <x v="4"/>
    <n v="96"/>
    <n v="19.200000000000003"/>
    <n v="52.800000000000004"/>
    <n v="24"/>
    <n v="144"/>
    <n v="28.799999999999997"/>
    <n v="14.399999999999999"/>
    <n v="79.2"/>
    <n v="14.4"/>
    <n v="21.599999999999998"/>
    <n v="10.080000000000002"/>
    <n v="18.72"/>
  </r>
  <r>
    <x v="58"/>
    <n v="18"/>
    <x v="5"/>
    <n v="50"/>
    <n v="10"/>
    <n v="27.500000000000004"/>
    <n v="12.5"/>
    <n v="75"/>
    <n v="15"/>
    <n v="7.5"/>
    <n v="41.25"/>
    <n v="7.5"/>
    <n v="11.25"/>
    <n v="5.2500000000000009"/>
    <n v="9.75"/>
  </r>
  <r>
    <x v="58"/>
    <n v="9"/>
    <x v="6"/>
    <n v="40"/>
    <n v="8"/>
    <n v="22"/>
    <n v="10"/>
    <n v="60"/>
    <n v="12"/>
    <n v="6"/>
    <n v="33"/>
    <n v="6"/>
    <n v="9"/>
    <n v="4.2"/>
    <n v="7.8000000000000007"/>
  </r>
  <r>
    <x v="59"/>
    <n v="6"/>
    <x v="7"/>
    <n v="41"/>
    <n v="8.2000000000000011"/>
    <n v="22.55"/>
    <n v="10.25"/>
    <n v="61.5"/>
    <n v="12.299999999999999"/>
    <n v="6.1499999999999995"/>
    <n v="33.825000000000003"/>
    <n v="6.15"/>
    <n v="9.2249999999999996"/>
    <n v="4.3050000000000006"/>
    <n v="7.9950000000000001"/>
  </r>
  <r>
    <x v="59"/>
    <n v="15"/>
    <x v="8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59"/>
    <n v="8"/>
    <x v="9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60"/>
    <n v="7"/>
    <x v="10"/>
    <n v="47"/>
    <n v="9.4"/>
    <n v="25.85"/>
    <n v="11.75"/>
    <n v="70.5"/>
    <n v="14.1"/>
    <n v="7.05"/>
    <n v="38.775000000000006"/>
    <n v="7.0500000000000007"/>
    <n v="10.574999999999999"/>
    <n v="4.9350000000000005"/>
    <n v="9.1650000000000009"/>
  </r>
  <r>
    <x v="60"/>
    <n v="10"/>
    <x v="11"/>
    <n v="41"/>
    <n v="8.2000000000000011"/>
    <n v="22.55"/>
    <n v="10.25"/>
    <n v="61.5"/>
    <n v="12.299999999999999"/>
    <n v="6.1499999999999995"/>
    <n v="33.825000000000003"/>
    <n v="6.15"/>
    <n v="9.2249999999999996"/>
    <n v="4.3050000000000006"/>
    <n v="7.9950000000000001"/>
  </r>
  <r>
    <x v="60"/>
    <n v="21"/>
    <x v="12"/>
    <n v="40"/>
    <n v="8"/>
    <n v="22"/>
    <n v="10"/>
    <n v="60"/>
    <n v="12"/>
    <n v="6"/>
    <n v="33"/>
    <n v="6"/>
    <n v="9"/>
    <n v="4.2"/>
    <n v="7.8000000000000007"/>
  </r>
  <r>
    <x v="61"/>
    <n v="14"/>
    <x v="13"/>
    <n v="50"/>
    <n v="10"/>
    <n v="27.500000000000004"/>
    <n v="12.5"/>
    <n v="75"/>
    <n v="15"/>
    <n v="7.5"/>
    <n v="41.25"/>
    <n v="7.5"/>
    <n v="11.25"/>
    <n v="5.2500000000000009"/>
    <n v="9.75"/>
  </r>
  <r>
    <x v="62"/>
    <n v="5"/>
    <x v="14"/>
    <n v="60"/>
    <n v="12"/>
    <n v="33"/>
    <n v="15"/>
    <n v="90"/>
    <n v="18"/>
    <n v="9"/>
    <n v="49.500000000000007"/>
    <n v="9"/>
    <n v="13.5"/>
    <n v="6.3000000000000007"/>
    <n v="11.700000000000001"/>
  </r>
  <r>
    <x v="62"/>
    <n v="12"/>
    <x v="15"/>
    <n v="40"/>
    <n v="8"/>
    <n v="22"/>
    <n v="10"/>
    <n v="60"/>
    <n v="12"/>
    <n v="6"/>
    <n v="33"/>
    <n v="6"/>
    <n v="9"/>
    <n v="4.2"/>
    <n v="7.8000000000000007"/>
  </r>
  <r>
    <x v="62"/>
    <n v="19"/>
    <x v="16"/>
    <n v="50"/>
    <n v="10"/>
    <n v="27.500000000000004"/>
    <n v="12.5"/>
    <n v="75"/>
    <n v="15"/>
    <n v="7.5"/>
    <n v="41.25"/>
    <n v="7.5"/>
    <n v="11.25"/>
    <n v="5.2500000000000009"/>
    <n v="9.75"/>
  </r>
  <r>
    <x v="63"/>
    <n v="17"/>
    <x v="17"/>
    <n v="60"/>
    <n v="12"/>
    <n v="33"/>
    <n v="15"/>
    <n v="90"/>
    <n v="18"/>
    <n v="9"/>
    <n v="49.500000000000007"/>
    <n v="9"/>
    <n v="13.5"/>
    <n v="6.3000000000000007"/>
    <n v="11.700000000000001"/>
  </r>
  <r>
    <x v="77"/>
    <n v="13"/>
    <x v="18"/>
    <n v="60"/>
    <n v="12"/>
    <n v="33"/>
    <n v="15"/>
    <n v="90"/>
    <n v="18"/>
    <n v="9"/>
    <n v="49.500000000000007"/>
    <n v="9"/>
    <n v="13.5"/>
    <n v="6.3000000000000007"/>
    <n v="11.700000000000001"/>
  </r>
  <r>
    <x v="64"/>
    <n v="20"/>
    <x v="19"/>
    <n v="55"/>
    <n v="11"/>
    <n v="30.250000000000004"/>
    <n v="13.75"/>
    <n v="82.5"/>
    <n v="16.5"/>
    <n v="8.25"/>
    <n v="45.375000000000007"/>
    <n v="8.25"/>
    <n v="12.375"/>
    <n v="5.7750000000000004"/>
    <n v="10.725"/>
  </r>
  <r>
    <x v="65"/>
    <n v="11"/>
    <x v="20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65"/>
    <n v="15"/>
    <x v="8"/>
    <n v="46"/>
    <n v="9.2000000000000011"/>
    <n v="25.3"/>
    <n v="11.5"/>
    <n v="69"/>
    <n v="13.799999999999999"/>
    <n v="6.8999999999999995"/>
    <n v="37.950000000000003"/>
    <n v="6.9"/>
    <n v="10.35"/>
    <n v="4.83"/>
    <n v="8.9700000000000006"/>
  </r>
  <r>
    <x v="65"/>
    <n v="8"/>
    <x v="9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6"/>
    <n v="7"/>
    <x v="10"/>
    <n v="60"/>
    <n v="12"/>
    <n v="33"/>
    <n v="15"/>
    <n v="90"/>
    <n v="18"/>
    <n v="9"/>
    <n v="49.500000000000007"/>
    <n v="9"/>
    <n v="13.5"/>
    <n v="6.3000000000000007"/>
    <n v="11.700000000000001"/>
  </r>
  <r>
    <x v="66"/>
    <n v="10"/>
    <x v="11"/>
    <n v="50"/>
    <n v="10"/>
    <n v="27.500000000000004"/>
    <n v="12.5"/>
    <n v="75"/>
    <n v="15"/>
    <n v="7.5"/>
    <n v="41.25"/>
    <n v="7.5"/>
    <n v="11.25"/>
    <n v="5.2500000000000009"/>
    <n v="9.75"/>
  </r>
  <r>
    <x v="66"/>
    <n v="21"/>
    <x v="12"/>
    <n v="40"/>
    <n v="8"/>
    <n v="22"/>
    <n v="10"/>
    <n v="60"/>
    <n v="12"/>
    <n v="6"/>
    <n v="33"/>
    <n v="6"/>
    <n v="9"/>
    <n v="4.2"/>
    <n v="7.8000000000000007"/>
  </r>
  <r>
    <x v="66"/>
    <n v="14"/>
    <x v="13"/>
    <n v="60"/>
    <n v="12"/>
    <n v="33"/>
    <n v="15"/>
    <n v="90"/>
    <n v="18"/>
    <n v="9"/>
    <n v="49.500000000000007"/>
    <n v="9"/>
    <n v="13.5"/>
    <n v="6.3000000000000007"/>
    <n v="11.700000000000001"/>
  </r>
  <r>
    <x v="67"/>
    <n v="5"/>
    <x v="14"/>
    <n v="30"/>
    <n v="6"/>
    <n v="16.5"/>
    <n v="7.5"/>
    <n v="45"/>
    <n v="9"/>
    <n v="4.5"/>
    <n v="24.750000000000004"/>
    <n v="4.5"/>
    <n v="6.75"/>
    <n v="3.1500000000000004"/>
    <n v="5.8500000000000005"/>
  </r>
  <r>
    <x v="68"/>
    <n v="12"/>
    <x v="15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68"/>
    <n v="19"/>
    <x v="16"/>
    <n v="32"/>
    <n v="6.4"/>
    <n v="17.600000000000001"/>
    <n v="8"/>
    <n v="48"/>
    <n v="9.6"/>
    <n v="4.8"/>
    <n v="26.400000000000002"/>
    <n v="4.8000000000000007"/>
    <n v="7.1999999999999993"/>
    <n v="3.3600000000000003"/>
    <n v="6.24"/>
  </r>
  <r>
    <x v="68"/>
    <n v="17"/>
    <x v="17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8"/>
    <n v="13"/>
    <x v="18"/>
    <n v="65"/>
    <n v="13"/>
    <n v="35.75"/>
    <n v="16.25"/>
    <n v="97.5"/>
    <n v="19.5"/>
    <n v="9.75"/>
    <n v="53.625000000000007"/>
    <n v="9.75"/>
    <n v="14.625"/>
    <n v="6.8250000000000011"/>
    <n v="12.675000000000001"/>
  </r>
  <r>
    <x v="68"/>
    <n v="20"/>
    <x v="19"/>
    <n v="45"/>
    <n v="9"/>
    <n v="24.750000000000004"/>
    <n v="11.25"/>
    <n v="67.5"/>
    <n v="13.5"/>
    <n v="6.75"/>
    <n v="37.125"/>
    <n v="6.75"/>
    <n v="10.125"/>
    <n v="4.7250000000000005"/>
    <n v="8.7750000000000004"/>
  </r>
  <r>
    <x v="70"/>
    <n v="11"/>
    <x v="20"/>
    <n v="25"/>
    <n v="5"/>
    <n v="13.750000000000002"/>
    <n v="6.25"/>
    <n v="37.5"/>
    <n v="7.5"/>
    <n v="3.75"/>
    <n v="20.625"/>
    <n v="3.75"/>
    <n v="5.625"/>
    <n v="2.6250000000000004"/>
    <n v="4.875"/>
  </r>
  <r>
    <x v="74"/>
    <n v="19"/>
    <x v="16"/>
    <n v="36"/>
    <n v="7.2"/>
    <n v="19.8"/>
    <n v="9"/>
    <n v="54"/>
    <n v="10.799999999999999"/>
    <n v="5.3999999999999995"/>
    <n v="29.700000000000003"/>
    <n v="5.4"/>
    <n v="8.1"/>
    <n v="3.7800000000000002"/>
    <n v="7.0200000000000005"/>
  </r>
  <r>
    <x v="74"/>
    <n v="17"/>
    <x v="17"/>
    <n v="63"/>
    <n v="12.600000000000001"/>
    <n v="34.650000000000006"/>
    <n v="15.75"/>
    <n v="94.5"/>
    <n v="18.899999999999999"/>
    <n v="9.4499999999999993"/>
    <n v="51.975000000000001"/>
    <n v="9.4500000000000011"/>
    <n v="14.174999999999999"/>
    <n v="6.6150000000000002"/>
    <n v="12.285"/>
  </r>
  <r>
    <x v="71"/>
    <n v="13"/>
    <x v="18"/>
    <n v="52"/>
    <n v="10.4"/>
    <n v="28.6"/>
    <n v="13"/>
    <n v="78"/>
    <n v="15.6"/>
    <n v="7.8"/>
    <n v="42.900000000000006"/>
    <n v="7.8000000000000007"/>
    <n v="11.7"/>
    <n v="5.4600000000000009"/>
    <n v="10.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D33D6-BA3C-4BF7-95E9-25DEBE50C8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8">
    <pivotField axis="axisRow" numFmtId="167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3"/>
        <item x="16"/>
        <item x="17"/>
        <item x="25"/>
        <item x="18"/>
        <item x="27"/>
        <item x="19"/>
        <item x="36"/>
        <item x="20"/>
        <item x="21"/>
        <item x="22"/>
        <item x="24"/>
        <item x="26"/>
        <item x="28"/>
        <item x="32"/>
        <item x="29"/>
        <item x="30"/>
        <item x="31"/>
        <item x="33"/>
        <item x="50"/>
        <item x="72"/>
        <item x="34"/>
        <item x="35"/>
        <item x="54"/>
        <item x="37"/>
        <item x="38"/>
        <item x="73"/>
        <item x="39"/>
        <item x="40"/>
        <item x="42"/>
        <item x="41"/>
        <item x="43"/>
        <item x="44"/>
        <item x="45"/>
        <item x="46"/>
        <item x="47"/>
        <item x="48"/>
        <item x="75"/>
        <item x="52"/>
        <item x="76"/>
        <item x="53"/>
        <item x="49"/>
        <item x="51"/>
        <item x="55"/>
        <item x="56"/>
        <item x="57"/>
        <item x="58"/>
        <item x="59"/>
        <item x="60"/>
        <item x="61"/>
        <item x="62"/>
        <item x="63"/>
        <item x="77"/>
        <item x="64"/>
        <item x="65"/>
        <item x="66"/>
        <item x="67"/>
        <item x="68"/>
        <item x="69"/>
        <item x="70"/>
        <item x="74"/>
        <item x="71"/>
        <item t="default"/>
      </items>
    </pivotField>
    <pivotField showAll="0"/>
    <pivotField showAll="0">
      <items count="22">
        <item x="12"/>
        <item x="11"/>
        <item x="4"/>
        <item x="0"/>
        <item x="2"/>
        <item x="8"/>
        <item x="1"/>
        <item x="18"/>
        <item x="20"/>
        <item x="10"/>
        <item x="9"/>
        <item x="17"/>
        <item x="3"/>
        <item x="14"/>
        <item x="19"/>
        <item x="15"/>
        <item x="7"/>
        <item x="13"/>
        <item x="5"/>
        <item x="16"/>
        <item x="6"/>
        <item t="default"/>
      </items>
    </pivotField>
    <pivotField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2">
    <field x="15"/>
    <field x="0"/>
  </rowFields>
  <rowItems count="5">
    <i>
      <x v="1"/>
    </i>
    <i>
      <x v="2"/>
    </i>
    <i>
      <x v="3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ollow Up" fld="6" baseField="0" baseItem="0" numFmtId="166"/>
    <dataField name="Sum of Call" fld="7" baseField="0" baseItem="0" numFmtId="166"/>
    <dataField name="Sum of Email" fld="8" baseField="0" baseItem="0" numFmtId="166"/>
    <dataField name="Sum of SMS" fld="9" baseField="0" baseItem="0" numFmtId="166"/>
    <dataField name="Sum of Won Deals" fld="4" baseField="0" baseItem="0" numFmtId="166"/>
    <dataField name="Sum of Lost Deals" fld="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H12" sqref="H12"/>
    </sheetView>
  </sheetViews>
  <sheetFormatPr defaultRowHeight="15" x14ac:dyDescent="0.25"/>
  <cols>
    <col min="1" max="1" width="11" bestFit="1" customWidth="1"/>
    <col min="2" max="2" width="17.28515625" bestFit="1" customWidth="1"/>
    <col min="3" max="3" width="12.28515625" bestFit="1" customWidth="1"/>
    <col min="4" max="4" width="12" bestFit="1" customWidth="1"/>
    <col min="5" max="5" width="6.28515625" bestFit="1" customWidth="1"/>
    <col min="6" max="6" width="13.7109375" bestFit="1" customWidth="1"/>
    <col min="8" max="8" width="11.42578125" bestFit="1" customWidth="1"/>
    <col min="9" max="9" width="9.140625" customWidth="1"/>
  </cols>
  <sheetData>
    <row r="1" spans="1:8" x14ac:dyDescent="0.25">
      <c r="A1" s="15" t="s">
        <v>19</v>
      </c>
    </row>
    <row r="4" spans="1:8" x14ac:dyDescent="0.25">
      <c r="A4" s="65" t="s">
        <v>0</v>
      </c>
      <c r="B4" s="65"/>
      <c r="C4" s="65"/>
    </row>
    <row r="5" spans="1:8" x14ac:dyDescent="0.25">
      <c r="A5" s="4" t="s">
        <v>1</v>
      </c>
      <c r="B5" s="4" t="s">
        <v>2</v>
      </c>
      <c r="C5" s="4" t="s">
        <v>9</v>
      </c>
      <c r="D5" s="4" t="s">
        <v>11</v>
      </c>
      <c r="E5" s="4" t="s">
        <v>17</v>
      </c>
      <c r="F5" s="4" t="s">
        <v>18</v>
      </c>
    </row>
    <row r="6" spans="1:8" x14ac:dyDescent="0.25">
      <c r="A6" s="13">
        <v>43586</v>
      </c>
      <c r="B6" s="5" t="s">
        <v>3</v>
      </c>
      <c r="C6" s="5" t="s">
        <v>10</v>
      </c>
      <c r="D6" s="6">
        <v>590000</v>
      </c>
      <c r="E6" s="7">
        <v>1</v>
      </c>
      <c r="F6" s="6">
        <f t="shared" ref="F6:F35" si="0">D6*E6</f>
        <v>590000</v>
      </c>
      <c r="H6" s="2"/>
    </row>
    <row r="7" spans="1:8" x14ac:dyDescent="0.25">
      <c r="A7" s="13">
        <v>43587</v>
      </c>
      <c r="B7" s="5" t="s">
        <v>4</v>
      </c>
      <c r="C7" s="5" t="s">
        <v>15</v>
      </c>
      <c r="D7" s="8">
        <v>750000</v>
      </c>
      <c r="E7" s="7">
        <v>2</v>
      </c>
      <c r="F7" s="8">
        <f t="shared" si="0"/>
        <v>1500000</v>
      </c>
    </row>
    <row r="8" spans="1:8" x14ac:dyDescent="0.25">
      <c r="A8" s="13">
        <v>43588</v>
      </c>
      <c r="B8" s="5" t="s">
        <v>5</v>
      </c>
      <c r="C8" s="5" t="s">
        <v>10</v>
      </c>
      <c r="D8" s="8">
        <v>590000</v>
      </c>
      <c r="E8" s="7">
        <v>1</v>
      </c>
      <c r="F8" s="8">
        <f t="shared" si="0"/>
        <v>590000</v>
      </c>
    </row>
    <row r="9" spans="1:8" x14ac:dyDescent="0.25">
      <c r="A9" s="13">
        <v>43589</v>
      </c>
      <c r="B9" s="5" t="s">
        <v>6</v>
      </c>
      <c r="C9" s="5" t="s">
        <v>12</v>
      </c>
      <c r="D9" s="8">
        <v>460000</v>
      </c>
      <c r="E9" s="7">
        <v>1</v>
      </c>
      <c r="F9" s="8">
        <f t="shared" si="0"/>
        <v>460000</v>
      </c>
    </row>
    <row r="10" spans="1:8" x14ac:dyDescent="0.25">
      <c r="A10" s="13">
        <v>43590</v>
      </c>
      <c r="B10" s="5" t="s">
        <v>7</v>
      </c>
      <c r="C10" s="9" t="s">
        <v>13</v>
      </c>
      <c r="D10" s="10">
        <v>790000</v>
      </c>
      <c r="E10" s="7">
        <v>3</v>
      </c>
      <c r="F10" s="10">
        <f t="shared" si="0"/>
        <v>2370000</v>
      </c>
    </row>
    <row r="11" spans="1:8" x14ac:dyDescent="0.25">
      <c r="A11" s="13">
        <v>43591</v>
      </c>
      <c r="B11" s="5" t="s">
        <v>3</v>
      </c>
      <c r="C11" s="5" t="s">
        <v>14</v>
      </c>
      <c r="D11" s="8">
        <v>375000</v>
      </c>
      <c r="E11" s="7">
        <v>2</v>
      </c>
      <c r="F11" s="8">
        <f t="shared" si="0"/>
        <v>750000</v>
      </c>
    </row>
    <row r="12" spans="1:8" x14ac:dyDescent="0.25">
      <c r="A12" s="13">
        <v>43592</v>
      </c>
      <c r="B12" s="5" t="s">
        <v>4</v>
      </c>
      <c r="C12" s="5" t="s">
        <v>10</v>
      </c>
      <c r="D12" s="10">
        <v>590000</v>
      </c>
      <c r="E12" s="7">
        <v>3</v>
      </c>
      <c r="F12" s="10">
        <f t="shared" si="0"/>
        <v>1770000</v>
      </c>
    </row>
    <row r="13" spans="1:8" x14ac:dyDescent="0.25">
      <c r="A13" s="13">
        <v>43593</v>
      </c>
      <c r="B13" s="5" t="s">
        <v>3</v>
      </c>
      <c r="C13" s="5" t="s">
        <v>15</v>
      </c>
      <c r="D13" s="8">
        <v>750000</v>
      </c>
      <c r="E13" s="7">
        <v>2</v>
      </c>
      <c r="F13" s="8">
        <f t="shared" si="0"/>
        <v>1500000</v>
      </c>
    </row>
    <row r="14" spans="1:8" x14ac:dyDescent="0.25">
      <c r="A14" s="14">
        <v>43594</v>
      </c>
      <c r="B14" s="9" t="s">
        <v>6</v>
      </c>
      <c r="C14" s="5" t="s">
        <v>10</v>
      </c>
      <c r="D14" s="10">
        <v>590000</v>
      </c>
      <c r="E14" s="7">
        <v>3</v>
      </c>
      <c r="F14" s="10">
        <f t="shared" si="0"/>
        <v>1770000</v>
      </c>
    </row>
    <row r="15" spans="1:8" x14ac:dyDescent="0.25">
      <c r="A15" s="13">
        <v>43595</v>
      </c>
      <c r="B15" s="5" t="s">
        <v>5</v>
      </c>
      <c r="C15" s="5" t="s">
        <v>15</v>
      </c>
      <c r="D15" s="6">
        <v>750000</v>
      </c>
      <c r="E15" s="7">
        <v>2</v>
      </c>
      <c r="F15" s="6">
        <f t="shared" si="0"/>
        <v>1500000</v>
      </c>
    </row>
    <row r="16" spans="1:8" x14ac:dyDescent="0.25">
      <c r="A16" s="13">
        <v>43596</v>
      </c>
      <c r="B16" s="5" t="s">
        <v>4</v>
      </c>
      <c r="C16" s="9" t="s">
        <v>12</v>
      </c>
      <c r="D16" s="8">
        <v>460000</v>
      </c>
      <c r="E16" s="7">
        <v>1</v>
      </c>
      <c r="F16" s="8">
        <f t="shared" si="0"/>
        <v>460000</v>
      </c>
    </row>
    <row r="17" spans="1:6" x14ac:dyDescent="0.25">
      <c r="A17" s="13">
        <v>43597</v>
      </c>
      <c r="B17" s="9" t="s">
        <v>6</v>
      </c>
      <c r="C17" s="5" t="s">
        <v>12</v>
      </c>
      <c r="D17" s="8">
        <v>460000</v>
      </c>
      <c r="E17" s="11">
        <v>1</v>
      </c>
      <c r="F17" s="8">
        <f t="shared" si="0"/>
        <v>460000</v>
      </c>
    </row>
    <row r="18" spans="1:6" x14ac:dyDescent="0.25">
      <c r="A18" s="13">
        <v>43598</v>
      </c>
      <c r="B18" s="5" t="s">
        <v>7</v>
      </c>
      <c r="C18" s="9" t="s">
        <v>15</v>
      </c>
      <c r="D18" s="12">
        <v>750000</v>
      </c>
      <c r="E18" s="7">
        <v>1</v>
      </c>
      <c r="F18" s="12">
        <f t="shared" si="0"/>
        <v>750000</v>
      </c>
    </row>
    <row r="19" spans="1:6" x14ac:dyDescent="0.25">
      <c r="A19" s="13">
        <v>43599</v>
      </c>
      <c r="B19" s="9" t="s">
        <v>7</v>
      </c>
      <c r="C19" s="5" t="s">
        <v>10</v>
      </c>
      <c r="D19" s="6">
        <v>590000</v>
      </c>
      <c r="E19" s="11">
        <v>2</v>
      </c>
      <c r="F19" s="6">
        <f t="shared" si="0"/>
        <v>1180000</v>
      </c>
    </row>
    <row r="20" spans="1:6" x14ac:dyDescent="0.25">
      <c r="A20" s="14">
        <v>43600</v>
      </c>
      <c r="B20" s="5" t="s">
        <v>3</v>
      </c>
      <c r="C20" s="5" t="s">
        <v>14</v>
      </c>
      <c r="D20" s="8">
        <v>375000</v>
      </c>
      <c r="E20" s="7">
        <v>2</v>
      </c>
      <c r="F20" s="8">
        <f t="shared" si="0"/>
        <v>750000</v>
      </c>
    </row>
    <row r="21" spans="1:6" x14ac:dyDescent="0.25">
      <c r="A21" s="13">
        <v>43601</v>
      </c>
      <c r="B21" s="5" t="s">
        <v>4</v>
      </c>
      <c r="C21" s="5" t="s">
        <v>13</v>
      </c>
      <c r="D21" s="8">
        <v>790000</v>
      </c>
      <c r="E21" s="7">
        <v>1</v>
      </c>
      <c r="F21" s="8">
        <f t="shared" si="0"/>
        <v>790000</v>
      </c>
    </row>
    <row r="22" spans="1:6" x14ac:dyDescent="0.25">
      <c r="A22" s="13">
        <v>43602</v>
      </c>
      <c r="B22" s="5" t="s">
        <v>5</v>
      </c>
      <c r="C22" s="5" t="s">
        <v>13</v>
      </c>
      <c r="D22" s="10">
        <v>790000</v>
      </c>
      <c r="E22" s="7">
        <v>1</v>
      </c>
      <c r="F22" s="10">
        <f t="shared" si="0"/>
        <v>790000</v>
      </c>
    </row>
    <row r="23" spans="1:6" x14ac:dyDescent="0.25">
      <c r="A23" s="13">
        <v>43603</v>
      </c>
      <c r="B23" s="5" t="s">
        <v>8</v>
      </c>
      <c r="C23" s="5" t="s">
        <v>10</v>
      </c>
      <c r="D23" s="8">
        <v>590000</v>
      </c>
      <c r="E23" s="7">
        <v>2</v>
      </c>
      <c r="F23" s="8">
        <f t="shared" si="0"/>
        <v>1180000</v>
      </c>
    </row>
    <row r="24" spans="1:6" x14ac:dyDescent="0.25">
      <c r="A24" s="13">
        <v>43604</v>
      </c>
      <c r="B24" s="5" t="s">
        <v>4</v>
      </c>
      <c r="C24" s="5" t="s">
        <v>14</v>
      </c>
      <c r="D24" s="12">
        <v>375000</v>
      </c>
      <c r="E24" s="7">
        <v>2</v>
      </c>
      <c r="F24" s="12">
        <f t="shared" si="0"/>
        <v>750000</v>
      </c>
    </row>
    <row r="25" spans="1:6" x14ac:dyDescent="0.25">
      <c r="A25" s="14">
        <v>43605</v>
      </c>
      <c r="B25" s="5" t="s">
        <v>8</v>
      </c>
      <c r="C25" s="9" t="s">
        <v>10</v>
      </c>
      <c r="D25" s="6">
        <v>590000</v>
      </c>
      <c r="E25" s="7">
        <v>1</v>
      </c>
      <c r="F25" s="6">
        <f t="shared" si="0"/>
        <v>590000</v>
      </c>
    </row>
    <row r="26" spans="1:6" x14ac:dyDescent="0.25">
      <c r="A26" s="13">
        <v>43606</v>
      </c>
      <c r="B26" s="9" t="s">
        <v>7</v>
      </c>
      <c r="C26" s="9" t="s">
        <v>15</v>
      </c>
      <c r="D26" s="8">
        <v>750000</v>
      </c>
      <c r="E26" s="7">
        <v>1</v>
      </c>
      <c r="F26" s="8">
        <f t="shared" si="0"/>
        <v>750000</v>
      </c>
    </row>
    <row r="27" spans="1:6" x14ac:dyDescent="0.25">
      <c r="A27" s="13">
        <v>43607</v>
      </c>
      <c r="B27" s="5" t="s">
        <v>5</v>
      </c>
      <c r="C27" s="5" t="s">
        <v>12</v>
      </c>
      <c r="D27" s="6">
        <v>460000</v>
      </c>
      <c r="E27" s="7">
        <v>1</v>
      </c>
      <c r="F27" s="6">
        <f t="shared" si="0"/>
        <v>460000</v>
      </c>
    </row>
    <row r="28" spans="1:6" x14ac:dyDescent="0.25">
      <c r="A28" s="13">
        <v>43608</v>
      </c>
      <c r="B28" s="5" t="s">
        <v>5</v>
      </c>
      <c r="C28" s="9" t="s">
        <v>12</v>
      </c>
      <c r="D28" s="12">
        <v>460000</v>
      </c>
      <c r="E28" s="7">
        <v>3</v>
      </c>
      <c r="F28" s="12">
        <f t="shared" si="0"/>
        <v>1380000</v>
      </c>
    </row>
    <row r="29" spans="1:6" x14ac:dyDescent="0.25">
      <c r="A29" s="13">
        <v>43609</v>
      </c>
      <c r="B29" s="5" t="s">
        <v>7</v>
      </c>
      <c r="C29" s="5" t="s">
        <v>14</v>
      </c>
      <c r="D29" s="8">
        <v>375000</v>
      </c>
      <c r="E29" s="7">
        <v>1</v>
      </c>
      <c r="F29" s="8">
        <f t="shared" si="0"/>
        <v>375000</v>
      </c>
    </row>
    <row r="30" spans="1:6" x14ac:dyDescent="0.25">
      <c r="A30" s="13">
        <v>43610</v>
      </c>
      <c r="B30" s="5" t="s">
        <v>3</v>
      </c>
      <c r="C30" s="5" t="s">
        <v>13</v>
      </c>
      <c r="D30" s="6">
        <v>790000</v>
      </c>
      <c r="E30" s="7">
        <v>2</v>
      </c>
      <c r="F30" s="6">
        <f t="shared" si="0"/>
        <v>1580000</v>
      </c>
    </row>
    <row r="31" spans="1:6" x14ac:dyDescent="0.25">
      <c r="A31" s="13">
        <v>43611</v>
      </c>
      <c r="B31" s="9" t="s">
        <v>6</v>
      </c>
      <c r="C31" s="5" t="s">
        <v>10</v>
      </c>
      <c r="D31" s="8">
        <v>590000</v>
      </c>
      <c r="E31" s="7">
        <v>1</v>
      </c>
      <c r="F31" s="8">
        <f t="shared" si="0"/>
        <v>590000</v>
      </c>
    </row>
    <row r="32" spans="1:6" x14ac:dyDescent="0.25">
      <c r="A32" s="13">
        <v>43612</v>
      </c>
      <c r="B32" s="5" t="s">
        <v>4</v>
      </c>
      <c r="C32" s="5" t="s">
        <v>14</v>
      </c>
      <c r="D32" s="12">
        <v>375000</v>
      </c>
      <c r="E32" s="7">
        <v>2</v>
      </c>
      <c r="F32" s="12">
        <f t="shared" si="0"/>
        <v>750000</v>
      </c>
    </row>
    <row r="33" spans="1:6" x14ac:dyDescent="0.25">
      <c r="A33" s="14">
        <v>43613</v>
      </c>
      <c r="B33" s="5" t="s">
        <v>3</v>
      </c>
      <c r="C33" s="5" t="s">
        <v>10</v>
      </c>
      <c r="D33" s="8">
        <v>590000</v>
      </c>
      <c r="E33" s="7">
        <v>3</v>
      </c>
      <c r="F33" s="8">
        <f t="shared" si="0"/>
        <v>1770000</v>
      </c>
    </row>
    <row r="34" spans="1:6" x14ac:dyDescent="0.25">
      <c r="A34" s="13">
        <v>43614</v>
      </c>
      <c r="B34" s="5" t="s">
        <v>4</v>
      </c>
      <c r="C34" s="5" t="s">
        <v>15</v>
      </c>
      <c r="D34" s="10">
        <v>750000</v>
      </c>
      <c r="E34" s="7">
        <v>1</v>
      </c>
      <c r="F34" s="10">
        <f t="shared" si="0"/>
        <v>750000</v>
      </c>
    </row>
    <row r="35" spans="1:6" x14ac:dyDescent="0.25">
      <c r="A35" s="13">
        <v>43615</v>
      </c>
      <c r="B35" s="5" t="s">
        <v>8</v>
      </c>
      <c r="C35" s="5" t="s">
        <v>12</v>
      </c>
      <c r="D35" s="8">
        <v>460000</v>
      </c>
      <c r="E35" s="7">
        <v>1</v>
      </c>
      <c r="F35" s="8">
        <f t="shared" si="0"/>
        <v>460000</v>
      </c>
    </row>
  </sheetData>
  <mergeCells count="1">
    <mergeCell ref="A4:C4"/>
  </mergeCells>
  <conditionalFormatting sqref="F1:F1048576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L23" sqref="L23"/>
    </sheetView>
  </sheetViews>
  <sheetFormatPr defaultRowHeight="15" x14ac:dyDescent="0.25"/>
  <cols>
    <col min="2" max="2" width="12" bestFit="1" customWidth="1"/>
    <col min="9" max="9" width="23.7109375" bestFit="1" customWidth="1"/>
  </cols>
  <sheetData>
    <row r="1" spans="1:10" x14ac:dyDescent="0.25">
      <c r="A1" s="15" t="s">
        <v>41</v>
      </c>
    </row>
    <row r="2" spans="1:10" x14ac:dyDescent="0.25">
      <c r="A2" s="15" t="s">
        <v>42</v>
      </c>
    </row>
    <row r="3" spans="1:10" x14ac:dyDescent="0.25">
      <c r="A3" s="15"/>
      <c r="I3" s="16" t="s">
        <v>44</v>
      </c>
      <c r="J3" s="16">
        <v>1000</v>
      </c>
    </row>
    <row r="4" spans="1:10" x14ac:dyDescent="0.25">
      <c r="A4" s="66" t="s">
        <v>36</v>
      </c>
      <c r="B4" s="66"/>
      <c r="C4" s="66"/>
      <c r="I4" s="16" t="s">
        <v>40</v>
      </c>
      <c r="J4" s="17">
        <f>MIN(B6:G14)</f>
        <v>189.84375</v>
      </c>
    </row>
    <row r="5" spans="1:10" x14ac:dyDescent="0.25">
      <c r="A5" s="22" t="s">
        <v>27</v>
      </c>
      <c r="B5" s="22" t="s">
        <v>30</v>
      </c>
      <c r="C5" s="22" t="s">
        <v>31</v>
      </c>
      <c r="D5" s="22" t="s">
        <v>32</v>
      </c>
      <c r="E5" s="22" t="s">
        <v>33</v>
      </c>
      <c r="F5" s="22" t="s">
        <v>34</v>
      </c>
      <c r="G5" s="22" t="s">
        <v>35</v>
      </c>
      <c r="I5" s="16" t="s">
        <v>45</v>
      </c>
      <c r="J5" s="17">
        <f>MAX(B6:G14)</f>
        <v>6831.0000000000018</v>
      </c>
    </row>
    <row r="6" spans="1:10" x14ac:dyDescent="0.25">
      <c r="A6" s="16" t="s">
        <v>3</v>
      </c>
      <c r="B6" s="16">
        <v>1200</v>
      </c>
      <c r="C6" s="16">
        <v>840</v>
      </c>
      <c r="D6" s="16">
        <v>900</v>
      </c>
      <c r="E6" s="16">
        <v>1201</v>
      </c>
      <c r="F6" s="16">
        <v>840.69999999999993</v>
      </c>
      <c r="G6" s="16">
        <v>901</v>
      </c>
    </row>
    <row r="7" spans="1:10" x14ac:dyDescent="0.25">
      <c r="A7" s="16" t="s">
        <v>4</v>
      </c>
      <c r="B7" s="16">
        <v>600</v>
      </c>
      <c r="C7" s="16">
        <v>420</v>
      </c>
      <c r="D7" s="16">
        <v>450</v>
      </c>
      <c r="E7" s="16">
        <v>600.5</v>
      </c>
      <c r="F7" s="16">
        <v>420.34999999999997</v>
      </c>
      <c r="G7" s="16">
        <v>450.5</v>
      </c>
    </row>
    <row r="8" spans="1:10" x14ac:dyDescent="0.25">
      <c r="A8" s="16" t="s">
        <v>5</v>
      </c>
      <c r="B8" s="16">
        <v>720</v>
      </c>
      <c r="C8" s="16">
        <v>210</v>
      </c>
      <c r="D8" s="16">
        <v>1350</v>
      </c>
      <c r="E8" s="16">
        <v>720.6</v>
      </c>
      <c r="F8" s="16">
        <v>210.17499999999998</v>
      </c>
      <c r="G8" s="16">
        <v>1351.5</v>
      </c>
    </row>
    <row r="9" spans="1:10" x14ac:dyDescent="0.25">
      <c r="A9" s="16" t="s">
        <v>6</v>
      </c>
      <c r="B9" s="16">
        <v>1320</v>
      </c>
      <c r="C9" s="16">
        <v>1242</v>
      </c>
      <c r="D9" s="16">
        <v>675</v>
      </c>
      <c r="E9" s="16">
        <v>1321.1000000000001</v>
      </c>
      <c r="F9" s="16">
        <v>920</v>
      </c>
      <c r="G9" s="16">
        <v>675.75</v>
      </c>
    </row>
    <row r="10" spans="1:10" x14ac:dyDescent="0.25">
      <c r="A10" s="16" t="s">
        <v>7</v>
      </c>
      <c r="B10" s="16">
        <v>792</v>
      </c>
      <c r="C10" s="16">
        <v>1330</v>
      </c>
      <c r="D10" s="16">
        <v>1012.5</v>
      </c>
      <c r="E10" s="16">
        <v>792.66000000000008</v>
      </c>
      <c r="F10" s="16">
        <v>1380</v>
      </c>
      <c r="G10" s="16">
        <v>1013.625</v>
      </c>
    </row>
    <row r="11" spans="1:10" x14ac:dyDescent="0.25">
      <c r="A11" s="16" t="s">
        <v>8</v>
      </c>
      <c r="B11" s="16">
        <v>1188</v>
      </c>
      <c r="C11" s="16">
        <v>1995</v>
      </c>
      <c r="D11" s="16">
        <v>506.25</v>
      </c>
      <c r="E11" s="16">
        <v>1250</v>
      </c>
      <c r="F11" s="16">
        <v>2070</v>
      </c>
      <c r="G11" s="16">
        <v>506.8125</v>
      </c>
    </row>
    <row r="12" spans="1:10" x14ac:dyDescent="0.25">
      <c r="A12" s="16" t="s">
        <v>43</v>
      </c>
      <c r="B12" s="16">
        <v>1742.4</v>
      </c>
      <c r="C12" s="16">
        <v>2926.0000000000005</v>
      </c>
      <c r="D12" s="16">
        <v>253.125</v>
      </c>
      <c r="E12" s="16">
        <v>1743.8520000000003</v>
      </c>
      <c r="F12" s="16">
        <v>3036.0000000000005</v>
      </c>
      <c r="G12" s="16">
        <v>253.40625</v>
      </c>
    </row>
    <row r="13" spans="1:10" x14ac:dyDescent="0.25">
      <c r="A13" s="16" t="s">
        <v>38</v>
      </c>
      <c r="B13" s="16">
        <v>1045.44</v>
      </c>
      <c r="C13" s="16">
        <v>4389.0000000000009</v>
      </c>
      <c r="D13" s="16">
        <v>379.6875</v>
      </c>
      <c r="E13" s="16">
        <v>1046.3112000000001</v>
      </c>
      <c r="F13" s="16">
        <v>4554.0000000000009</v>
      </c>
      <c r="G13" s="16">
        <v>380.109375</v>
      </c>
    </row>
    <row r="14" spans="1:10" x14ac:dyDescent="0.25">
      <c r="A14" s="16" t="s">
        <v>39</v>
      </c>
      <c r="B14" s="16">
        <v>1568.16</v>
      </c>
      <c r="C14" s="16">
        <v>6583.5000000000018</v>
      </c>
      <c r="D14" s="16">
        <v>189.84375</v>
      </c>
      <c r="E14" s="16">
        <v>1569.4668000000001</v>
      </c>
      <c r="F14" s="16">
        <v>6831.0000000000018</v>
      </c>
      <c r="G14" s="16">
        <v>190.0546875</v>
      </c>
    </row>
    <row r="15" spans="1:10" x14ac:dyDescent="0.25">
      <c r="B15" s="52"/>
    </row>
  </sheetData>
  <mergeCells count="1">
    <mergeCell ref="A4:C4"/>
  </mergeCells>
  <conditionalFormatting sqref="B6:G14">
    <cfRule type="cellIs" dxfId="1" priority="3" operator="lessThan">
      <formula>$J$3</formula>
    </cfRule>
    <cfRule type="cellIs" dxfId="0" priority="4" operator="greaterThan">
      <formula>$J$3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workbookViewId="0">
      <selection activeCell="K18" sqref="K18"/>
    </sheetView>
  </sheetViews>
  <sheetFormatPr defaultRowHeight="15" x14ac:dyDescent="0.25"/>
  <cols>
    <col min="1" max="1" width="12.5703125" customWidth="1"/>
    <col min="4" max="4" width="12" bestFit="1" customWidth="1"/>
    <col min="5" max="5" width="6.28515625" bestFit="1" customWidth="1"/>
    <col min="6" max="6" width="13.7109375" bestFit="1" customWidth="1"/>
    <col min="9" max="9" width="21.5703125" bestFit="1" customWidth="1"/>
    <col min="10" max="10" width="14.7109375" bestFit="1" customWidth="1"/>
  </cols>
  <sheetData>
    <row r="1" spans="1:10" x14ac:dyDescent="0.25">
      <c r="A1" s="15" t="s">
        <v>46</v>
      </c>
    </row>
    <row r="4" spans="1:10" x14ac:dyDescent="0.25">
      <c r="A4" s="65" t="s">
        <v>0</v>
      </c>
      <c r="B4" s="65"/>
      <c r="C4" s="65"/>
    </row>
    <row r="5" spans="1:10" x14ac:dyDescent="0.25">
      <c r="A5" s="4" t="s">
        <v>1</v>
      </c>
      <c r="B5" s="4" t="s">
        <v>2</v>
      </c>
      <c r="C5" s="4" t="s">
        <v>9</v>
      </c>
      <c r="D5" s="4" t="s">
        <v>11</v>
      </c>
      <c r="E5" s="4" t="s">
        <v>17</v>
      </c>
      <c r="F5" s="4" t="s">
        <v>18</v>
      </c>
      <c r="I5" s="18" t="s">
        <v>23</v>
      </c>
      <c r="J5" s="18" t="s">
        <v>24</v>
      </c>
    </row>
    <row r="6" spans="1:10" x14ac:dyDescent="0.25">
      <c r="A6" s="13">
        <v>43586</v>
      </c>
      <c r="B6" s="5" t="s">
        <v>3</v>
      </c>
      <c r="C6" s="5" t="s">
        <v>10</v>
      </c>
      <c r="D6" s="6">
        <v>590000</v>
      </c>
      <c r="E6" s="7">
        <v>1</v>
      </c>
      <c r="F6" s="6">
        <f t="shared" ref="F6:F35" si="0">D6*E6</f>
        <v>590000</v>
      </c>
      <c r="I6" s="16" t="s">
        <v>21</v>
      </c>
      <c r="J6" s="19">
        <f>SUM(F6:F35)</f>
        <v>29365000</v>
      </c>
    </row>
    <row r="7" spans="1:10" x14ac:dyDescent="0.25">
      <c r="A7" s="13">
        <v>43587</v>
      </c>
      <c r="B7" s="5" t="s">
        <v>4</v>
      </c>
      <c r="C7" s="5" t="s">
        <v>15</v>
      </c>
      <c r="D7" s="8">
        <v>750000</v>
      </c>
      <c r="E7" s="7">
        <v>2</v>
      </c>
      <c r="F7" s="8">
        <f t="shared" si="0"/>
        <v>1500000</v>
      </c>
      <c r="I7" s="16" t="s">
        <v>22</v>
      </c>
      <c r="J7" s="20">
        <f>SUM(E6:E35)</f>
        <v>50</v>
      </c>
    </row>
    <row r="8" spans="1:10" x14ac:dyDescent="0.25">
      <c r="A8" s="13">
        <v>43588</v>
      </c>
      <c r="B8" s="5" t="s">
        <v>5</v>
      </c>
      <c r="C8" s="5" t="s">
        <v>10</v>
      </c>
      <c r="D8" s="8">
        <v>590000</v>
      </c>
      <c r="E8" s="7">
        <v>1</v>
      </c>
      <c r="F8" s="8">
        <f t="shared" si="0"/>
        <v>590000</v>
      </c>
      <c r="I8" s="16" t="s">
        <v>26</v>
      </c>
      <c r="J8" s="20">
        <f>COUNT(A6:A35)</f>
        <v>30</v>
      </c>
    </row>
    <row r="9" spans="1:10" x14ac:dyDescent="0.25">
      <c r="A9" s="13">
        <v>43589</v>
      </c>
      <c r="B9" s="5" t="s">
        <v>6</v>
      </c>
      <c r="C9" s="5" t="s">
        <v>12</v>
      </c>
      <c r="D9" s="8">
        <v>460000</v>
      </c>
      <c r="E9" s="7">
        <v>1</v>
      </c>
      <c r="F9" s="8">
        <f t="shared" si="0"/>
        <v>460000</v>
      </c>
      <c r="I9" s="16" t="s">
        <v>25</v>
      </c>
      <c r="J9" s="19">
        <f>AVERAGE(F:F)</f>
        <v>978833.33333333337</v>
      </c>
    </row>
    <row r="10" spans="1:10" x14ac:dyDescent="0.25">
      <c r="A10" s="13">
        <v>43590</v>
      </c>
      <c r="B10" s="5" t="s">
        <v>7</v>
      </c>
      <c r="C10" s="9" t="s">
        <v>13</v>
      </c>
      <c r="D10" s="10">
        <v>790000</v>
      </c>
      <c r="E10" s="7">
        <v>3</v>
      </c>
      <c r="F10" s="10">
        <f t="shared" si="0"/>
        <v>2370000</v>
      </c>
    </row>
    <row r="11" spans="1:10" x14ac:dyDescent="0.25">
      <c r="A11" s="13">
        <v>43591</v>
      </c>
      <c r="B11" s="5" t="s">
        <v>3</v>
      </c>
      <c r="C11" s="5" t="s">
        <v>14</v>
      </c>
      <c r="D11" s="8">
        <v>375000</v>
      </c>
      <c r="E11" s="7">
        <v>2</v>
      </c>
      <c r="F11" s="8">
        <f t="shared" si="0"/>
        <v>750000</v>
      </c>
    </row>
    <row r="12" spans="1:10" x14ac:dyDescent="0.25">
      <c r="A12" s="13">
        <v>43592</v>
      </c>
      <c r="B12" s="5" t="s">
        <v>4</v>
      </c>
      <c r="C12" s="5" t="s">
        <v>10</v>
      </c>
      <c r="D12" s="10">
        <v>590000</v>
      </c>
      <c r="E12" s="7">
        <v>3</v>
      </c>
      <c r="F12" s="10">
        <f t="shared" si="0"/>
        <v>1770000</v>
      </c>
    </row>
    <row r="13" spans="1:10" x14ac:dyDescent="0.25">
      <c r="A13" s="13">
        <v>43593</v>
      </c>
      <c r="B13" s="5" t="s">
        <v>3</v>
      </c>
      <c r="C13" s="5" t="s">
        <v>15</v>
      </c>
      <c r="D13" s="8">
        <v>750000</v>
      </c>
      <c r="E13" s="7">
        <v>2</v>
      </c>
      <c r="F13" s="8">
        <f t="shared" si="0"/>
        <v>1500000</v>
      </c>
    </row>
    <row r="14" spans="1:10" x14ac:dyDescent="0.25">
      <c r="A14" s="14">
        <v>43594</v>
      </c>
      <c r="B14" s="9" t="s">
        <v>6</v>
      </c>
      <c r="C14" s="5" t="s">
        <v>10</v>
      </c>
      <c r="D14" s="10">
        <v>590000</v>
      </c>
      <c r="E14" s="7">
        <v>3</v>
      </c>
      <c r="F14" s="10">
        <f t="shared" si="0"/>
        <v>1770000</v>
      </c>
    </row>
    <row r="15" spans="1:10" x14ac:dyDescent="0.25">
      <c r="A15" s="13">
        <v>43595</v>
      </c>
      <c r="B15" s="5" t="s">
        <v>5</v>
      </c>
      <c r="C15" s="5" t="s">
        <v>15</v>
      </c>
      <c r="D15" s="6">
        <v>750000</v>
      </c>
      <c r="E15" s="7">
        <v>2</v>
      </c>
      <c r="F15" s="6">
        <f t="shared" si="0"/>
        <v>1500000</v>
      </c>
    </row>
    <row r="16" spans="1:10" x14ac:dyDescent="0.25">
      <c r="A16" s="13">
        <v>43596</v>
      </c>
      <c r="B16" s="5" t="s">
        <v>4</v>
      </c>
      <c r="C16" s="9" t="s">
        <v>12</v>
      </c>
      <c r="D16" s="8">
        <v>460000</v>
      </c>
      <c r="E16" s="7">
        <v>1</v>
      </c>
      <c r="F16" s="8">
        <f t="shared" si="0"/>
        <v>460000</v>
      </c>
    </row>
    <row r="17" spans="1:6" x14ac:dyDescent="0.25">
      <c r="A17" s="13">
        <v>43597</v>
      </c>
      <c r="B17" s="9" t="s">
        <v>6</v>
      </c>
      <c r="C17" s="5" t="s">
        <v>12</v>
      </c>
      <c r="D17" s="8">
        <v>460000</v>
      </c>
      <c r="E17" s="11">
        <v>1</v>
      </c>
      <c r="F17" s="8">
        <f t="shared" si="0"/>
        <v>460000</v>
      </c>
    </row>
    <row r="18" spans="1:6" x14ac:dyDescent="0.25">
      <c r="A18" s="13">
        <v>43598</v>
      </c>
      <c r="B18" s="5" t="s">
        <v>7</v>
      </c>
      <c r="C18" s="9" t="s">
        <v>15</v>
      </c>
      <c r="D18" s="12">
        <v>750000</v>
      </c>
      <c r="E18" s="7">
        <v>1</v>
      </c>
      <c r="F18" s="12">
        <f t="shared" si="0"/>
        <v>750000</v>
      </c>
    </row>
    <row r="19" spans="1:6" x14ac:dyDescent="0.25">
      <c r="A19" s="13">
        <v>43599</v>
      </c>
      <c r="B19" s="9" t="s">
        <v>7</v>
      </c>
      <c r="C19" s="5" t="s">
        <v>10</v>
      </c>
      <c r="D19" s="6">
        <v>590000</v>
      </c>
      <c r="E19" s="11">
        <v>2</v>
      </c>
      <c r="F19" s="6">
        <f t="shared" si="0"/>
        <v>1180000</v>
      </c>
    </row>
    <row r="20" spans="1:6" x14ac:dyDescent="0.25">
      <c r="A20" s="14">
        <v>43600</v>
      </c>
      <c r="B20" s="5" t="s">
        <v>3</v>
      </c>
      <c r="C20" s="5" t="s">
        <v>14</v>
      </c>
      <c r="D20" s="8">
        <v>375000</v>
      </c>
      <c r="E20" s="7">
        <v>2</v>
      </c>
      <c r="F20" s="8">
        <f t="shared" si="0"/>
        <v>750000</v>
      </c>
    </row>
    <row r="21" spans="1:6" x14ac:dyDescent="0.25">
      <c r="A21" s="13">
        <v>43601</v>
      </c>
      <c r="B21" s="5" t="s">
        <v>4</v>
      </c>
      <c r="C21" s="5" t="s">
        <v>13</v>
      </c>
      <c r="D21" s="8">
        <v>790000</v>
      </c>
      <c r="E21" s="7">
        <v>1</v>
      </c>
      <c r="F21" s="8">
        <f t="shared" si="0"/>
        <v>790000</v>
      </c>
    </row>
    <row r="22" spans="1:6" x14ac:dyDescent="0.25">
      <c r="A22" s="13">
        <v>43602</v>
      </c>
      <c r="B22" s="5" t="s">
        <v>5</v>
      </c>
      <c r="C22" s="5" t="s">
        <v>13</v>
      </c>
      <c r="D22" s="10">
        <v>790000</v>
      </c>
      <c r="E22" s="7">
        <v>1</v>
      </c>
      <c r="F22" s="10">
        <f t="shared" si="0"/>
        <v>790000</v>
      </c>
    </row>
    <row r="23" spans="1:6" x14ac:dyDescent="0.25">
      <c r="A23" s="13">
        <v>43603</v>
      </c>
      <c r="B23" s="5" t="s">
        <v>8</v>
      </c>
      <c r="C23" s="5" t="s">
        <v>10</v>
      </c>
      <c r="D23" s="8">
        <v>590000</v>
      </c>
      <c r="E23" s="7">
        <v>2</v>
      </c>
      <c r="F23" s="8">
        <f t="shared" si="0"/>
        <v>1180000</v>
      </c>
    </row>
    <row r="24" spans="1:6" x14ac:dyDescent="0.25">
      <c r="A24" s="13">
        <v>43604</v>
      </c>
      <c r="B24" s="5" t="s">
        <v>4</v>
      </c>
      <c r="C24" s="5" t="s">
        <v>14</v>
      </c>
      <c r="D24" s="12">
        <v>375000</v>
      </c>
      <c r="E24" s="7">
        <v>2</v>
      </c>
      <c r="F24" s="12">
        <f t="shared" si="0"/>
        <v>750000</v>
      </c>
    </row>
    <row r="25" spans="1:6" x14ac:dyDescent="0.25">
      <c r="A25" s="14">
        <v>43605</v>
      </c>
      <c r="B25" s="5" t="s">
        <v>8</v>
      </c>
      <c r="C25" s="9" t="s">
        <v>10</v>
      </c>
      <c r="D25" s="6">
        <v>590000</v>
      </c>
      <c r="E25" s="7">
        <v>1</v>
      </c>
      <c r="F25" s="6">
        <f t="shared" si="0"/>
        <v>590000</v>
      </c>
    </row>
    <row r="26" spans="1:6" x14ac:dyDescent="0.25">
      <c r="A26" s="13">
        <v>43606</v>
      </c>
      <c r="B26" s="9" t="s">
        <v>7</v>
      </c>
      <c r="C26" s="9" t="s">
        <v>15</v>
      </c>
      <c r="D26" s="8">
        <v>750000</v>
      </c>
      <c r="E26" s="7">
        <v>1</v>
      </c>
      <c r="F26" s="8">
        <f t="shared" si="0"/>
        <v>750000</v>
      </c>
    </row>
    <row r="27" spans="1:6" x14ac:dyDescent="0.25">
      <c r="A27" s="13">
        <v>43607</v>
      </c>
      <c r="B27" s="5" t="s">
        <v>5</v>
      </c>
      <c r="C27" s="5" t="s">
        <v>12</v>
      </c>
      <c r="D27" s="6">
        <v>460000</v>
      </c>
      <c r="E27" s="7">
        <v>1</v>
      </c>
      <c r="F27" s="6">
        <f t="shared" si="0"/>
        <v>460000</v>
      </c>
    </row>
    <row r="28" spans="1:6" x14ac:dyDescent="0.25">
      <c r="A28" s="13">
        <v>43608</v>
      </c>
      <c r="B28" s="5" t="s">
        <v>5</v>
      </c>
      <c r="C28" s="9" t="s">
        <v>12</v>
      </c>
      <c r="D28" s="12">
        <v>460000</v>
      </c>
      <c r="E28" s="7">
        <v>3</v>
      </c>
      <c r="F28" s="12">
        <f t="shared" si="0"/>
        <v>1380000</v>
      </c>
    </row>
    <row r="29" spans="1:6" x14ac:dyDescent="0.25">
      <c r="A29" s="13">
        <v>43609</v>
      </c>
      <c r="B29" s="5" t="s">
        <v>7</v>
      </c>
      <c r="C29" s="5" t="s">
        <v>14</v>
      </c>
      <c r="D29" s="8">
        <v>375000</v>
      </c>
      <c r="E29" s="7">
        <v>1</v>
      </c>
      <c r="F29" s="8">
        <f t="shared" si="0"/>
        <v>375000</v>
      </c>
    </row>
    <row r="30" spans="1:6" x14ac:dyDescent="0.25">
      <c r="A30" s="13">
        <v>43610</v>
      </c>
      <c r="B30" s="5" t="s">
        <v>3</v>
      </c>
      <c r="C30" s="5" t="s">
        <v>13</v>
      </c>
      <c r="D30" s="6">
        <v>790000</v>
      </c>
      <c r="E30" s="7">
        <v>2</v>
      </c>
      <c r="F30" s="6">
        <f t="shared" si="0"/>
        <v>1580000</v>
      </c>
    </row>
    <row r="31" spans="1:6" x14ac:dyDescent="0.25">
      <c r="A31" s="13">
        <v>43611</v>
      </c>
      <c r="B31" s="9" t="s">
        <v>6</v>
      </c>
      <c r="C31" s="5" t="s">
        <v>10</v>
      </c>
      <c r="D31" s="8">
        <v>590000</v>
      </c>
      <c r="E31" s="7">
        <v>1</v>
      </c>
      <c r="F31" s="8">
        <f t="shared" si="0"/>
        <v>590000</v>
      </c>
    </row>
    <row r="32" spans="1:6" x14ac:dyDescent="0.25">
      <c r="A32" s="13">
        <v>43612</v>
      </c>
      <c r="B32" s="5" t="s">
        <v>4</v>
      </c>
      <c r="C32" s="5" t="s">
        <v>14</v>
      </c>
      <c r="D32" s="12">
        <v>375000</v>
      </c>
      <c r="E32" s="7">
        <v>2</v>
      </c>
      <c r="F32" s="12">
        <f t="shared" si="0"/>
        <v>750000</v>
      </c>
    </row>
    <row r="33" spans="1:6" x14ac:dyDescent="0.25">
      <c r="A33" s="14">
        <v>43613</v>
      </c>
      <c r="B33" s="5" t="s">
        <v>3</v>
      </c>
      <c r="C33" s="5" t="s">
        <v>10</v>
      </c>
      <c r="D33" s="8">
        <v>590000</v>
      </c>
      <c r="E33" s="7">
        <v>3</v>
      </c>
      <c r="F33" s="8">
        <f t="shared" si="0"/>
        <v>1770000</v>
      </c>
    </row>
    <row r="34" spans="1:6" x14ac:dyDescent="0.25">
      <c r="A34" s="13">
        <v>43614</v>
      </c>
      <c r="B34" s="5" t="s">
        <v>4</v>
      </c>
      <c r="C34" s="5" t="s">
        <v>15</v>
      </c>
      <c r="D34" s="10">
        <v>750000</v>
      </c>
      <c r="E34" s="7">
        <v>1</v>
      </c>
      <c r="F34" s="10">
        <f t="shared" si="0"/>
        <v>750000</v>
      </c>
    </row>
    <row r="35" spans="1:6" x14ac:dyDescent="0.25">
      <c r="A35" s="13">
        <v>43615</v>
      </c>
      <c r="B35" s="5" t="s">
        <v>8</v>
      </c>
      <c r="C35" s="5" t="s">
        <v>12</v>
      </c>
      <c r="D35" s="8">
        <v>460000</v>
      </c>
      <c r="E35" s="7">
        <v>1</v>
      </c>
      <c r="F35" s="8">
        <f t="shared" si="0"/>
        <v>460000</v>
      </c>
    </row>
  </sheetData>
  <mergeCells count="1"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6"/>
  <sheetViews>
    <sheetView topLeftCell="B3" workbookViewId="0">
      <selection activeCell="K5" sqref="K5"/>
    </sheetView>
  </sheetViews>
  <sheetFormatPr defaultRowHeight="15" x14ac:dyDescent="0.25"/>
  <cols>
    <col min="1" max="1" width="12.5703125" customWidth="1"/>
    <col min="4" max="4" width="12" bestFit="1" customWidth="1"/>
    <col min="5" max="5" width="17.140625" customWidth="1"/>
    <col min="6" max="6" width="13.7109375" bestFit="1" customWidth="1"/>
    <col min="13" max="13" width="10.5703125" customWidth="1"/>
    <col min="14" max="14" width="17.7109375" customWidth="1"/>
    <col min="15" max="15" width="11.28515625" bestFit="1" customWidth="1"/>
    <col min="16" max="16" width="12" customWidth="1"/>
    <col min="21" max="21" width="10.85546875" customWidth="1"/>
  </cols>
  <sheetData>
    <row r="1" spans="1:23" x14ac:dyDescent="0.25">
      <c r="A1" s="15" t="s">
        <v>37</v>
      </c>
      <c r="F1" t="s">
        <v>879</v>
      </c>
    </row>
    <row r="2" spans="1:23" x14ac:dyDescent="0.25">
      <c r="A2" s="15" t="s">
        <v>29</v>
      </c>
      <c r="F2" t="s">
        <v>880</v>
      </c>
    </row>
    <row r="4" spans="1:23" x14ac:dyDescent="0.25">
      <c r="A4" s="65" t="s">
        <v>0</v>
      </c>
      <c r="B4" s="65"/>
      <c r="C4" s="65"/>
    </row>
    <row r="5" spans="1:23" ht="18.75" x14ac:dyDescent="0.3">
      <c r="A5" s="4" t="s">
        <v>1</v>
      </c>
      <c r="B5" s="4" t="s">
        <v>2</v>
      </c>
      <c r="C5" s="4" t="s">
        <v>9</v>
      </c>
      <c r="D5" s="4" t="s">
        <v>11</v>
      </c>
      <c r="E5" s="4" t="s">
        <v>17</v>
      </c>
      <c r="F5" s="4" t="s">
        <v>18</v>
      </c>
      <c r="N5" s="67" t="s">
        <v>881</v>
      </c>
      <c r="O5" s="67"/>
      <c r="U5" s="54" t="s">
        <v>882</v>
      </c>
    </row>
    <row r="6" spans="1:23" x14ac:dyDescent="0.25">
      <c r="A6" s="13">
        <v>43586</v>
      </c>
      <c r="B6" s="5" t="s">
        <v>3</v>
      </c>
      <c r="C6" s="5" t="s">
        <v>10</v>
      </c>
      <c r="D6" s="6">
        <v>590000</v>
      </c>
      <c r="E6" s="7">
        <v>1</v>
      </c>
      <c r="F6" s="6">
        <f t="shared" ref="F6:F35" si="0">D6*E6</f>
        <v>590000</v>
      </c>
    </row>
    <row r="7" spans="1:23" ht="20.25" thickBot="1" x14ac:dyDescent="0.35">
      <c r="A7" s="13">
        <v>43587</v>
      </c>
      <c r="B7" s="5" t="s">
        <v>4</v>
      </c>
      <c r="C7" s="5" t="s">
        <v>15</v>
      </c>
      <c r="D7" s="8">
        <v>750000</v>
      </c>
      <c r="E7" s="7">
        <v>2</v>
      </c>
      <c r="F7" s="8">
        <f t="shared" si="0"/>
        <v>1500000</v>
      </c>
      <c r="T7" s="55"/>
      <c r="U7" s="56" t="s">
        <v>885</v>
      </c>
      <c r="V7" s="56" t="s">
        <v>13</v>
      </c>
      <c r="W7" s="56" t="s">
        <v>14</v>
      </c>
    </row>
    <row r="8" spans="1:23" ht="21" thickTop="1" thickBot="1" x14ac:dyDescent="0.35">
      <c r="A8" s="13">
        <v>43588</v>
      </c>
      <c r="B8" s="5" t="s">
        <v>5</v>
      </c>
      <c r="C8" s="5" t="s">
        <v>10</v>
      </c>
      <c r="D8" s="8">
        <v>590000</v>
      </c>
      <c r="E8" s="7">
        <v>1</v>
      </c>
      <c r="F8" s="8">
        <f t="shared" si="0"/>
        <v>590000</v>
      </c>
      <c r="M8" s="55"/>
      <c r="N8" s="56" t="s">
        <v>3</v>
      </c>
      <c r="O8" s="56" t="s">
        <v>7</v>
      </c>
      <c r="P8" s="56" t="s">
        <v>4</v>
      </c>
      <c r="T8" s="60" t="s">
        <v>883</v>
      </c>
      <c r="U8" s="55">
        <f>COUNTIFS(B6:B35,B6,C6:C35,C6)</f>
        <v>2</v>
      </c>
      <c r="V8" s="55">
        <f>COUNTIFS(B6:B35,B6,C6:C35,C10)</f>
        <v>1</v>
      </c>
      <c r="W8" s="55">
        <f>COUNTIFS(B6:B35,B6,C6:C35,C11)</f>
        <v>2</v>
      </c>
    </row>
    <row r="9" spans="1:23" ht="21" thickTop="1" thickBot="1" x14ac:dyDescent="0.35">
      <c r="A9" s="13">
        <v>43589</v>
      </c>
      <c r="B9" s="5" t="s">
        <v>6</v>
      </c>
      <c r="C9" s="5" t="s">
        <v>12</v>
      </c>
      <c r="D9" s="8">
        <v>460000</v>
      </c>
      <c r="E9" s="7">
        <v>1</v>
      </c>
      <c r="F9" s="8">
        <f t="shared" si="0"/>
        <v>460000</v>
      </c>
      <c r="M9" s="57" t="s">
        <v>10</v>
      </c>
      <c r="N9" s="55">
        <f>SUMIFS(F6:F35,B6:B35,N8,C6:C35,M9)</f>
        <v>2360000</v>
      </c>
      <c r="O9" s="55">
        <f>SUMIFS(F6:F35,B6:B35,B10,C6:C35,C6)</f>
        <v>1180000</v>
      </c>
      <c r="P9" s="55">
        <f>SUMIFS(F6:F35,B6:B35,B12,C6:C35,C6)</f>
        <v>1770000</v>
      </c>
      <c r="T9" s="60" t="s">
        <v>4</v>
      </c>
      <c r="U9" s="55">
        <f>COUNTIFS(B6:B35,B7,C6:C35,C8)</f>
        <v>1</v>
      </c>
      <c r="V9" s="55">
        <f>COUNTIFS(B6:B35,B7,C6:C35,C10)</f>
        <v>1</v>
      </c>
      <c r="W9" s="55">
        <f>COUNTIFS(B6:B35,B7,C6:C35,C11)</f>
        <v>2</v>
      </c>
    </row>
    <row r="10" spans="1:23" ht="21" thickTop="1" thickBot="1" x14ac:dyDescent="0.35">
      <c r="A10" s="13">
        <v>43590</v>
      </c>
      <c r="B10" s="5" t="s">
        <v>7</v>
      </c>
      <c r="C10" s="9" t="s">
        <v>13</v>
      </c>
      <c r="D10" s="10">
        <v>790000</v>
      </c>
      <c r="E10" s="7">
        <v>3</v>
      </c>
      <c r="F10" s="10">
        <f t="shared" si="0"/>
        <v>2370000</v>
      </c>
      <c r="M10" s="58" t="s">
        <v>15</v>
      </c>
      <c r="N10" s="55">
        <f>SUMIFS(F6:F35,B6:B35,B6,C6:C35,C13)</f>
        <v>1500000</v>
      </c>
      <c r="O10" s="55">
        <f>SUMIFS(F6:F35,B6:B35,B10,C6:C35,C7)</f>
        <v>1500000</v>
      </c>
      <c r="P10" s="55">
        <f>SUMIFS(F6:F35,B6:B35,B7,C6:C35,C13)</f>
        <v>2250000</v>
      </c>
      <c r="T10" s="60" t="s">
        <v>884</v>
      </c>
      <c r="U10" s="55">
        <f>COUNTIFS(B6:B35,B9,C6:C35,C8)</f>
        <v>2</v>
      </c>
      <c r="V10" s="55">
        <f>COUNTIFS(B6:B35,B9,C6:C35,C10)</f>
        <v>0</v>
      </c>
      <c r="W10" s="55">
        <f>COUNTIFS(B6:B35,B9,C6:C35,C11)</f>
        <v>0</v>
      </c>
    </row>
    <row r="11" spans="1:23" ht="21" thickTop="1" thickBot="1" x14ac:dyDescent="0.35">
      <c r="A11" s="13">
        <v>43591</v>
      </c>
      <c r="B11" s="5" t="s">
        <v>3</v>
      </c>
      <c r="C11" s="5" t="s">
        <v>14</v>
      </c>
      <c r="D11" s="8">
        <v>375000</v>
      </c>
      <c r="E11" s="7">
        <v>2</v>
      </c>
      <c r="F11" s="8">
        <f t="shared" si="0"/>
        <v>750000</v>
      </c>
      <c r="M11" s="59" t="s">
        <v>13</v>
      </c>
      <c r="N11" s="55">
        <f>SUMIFS(F6:F35,B6:B35,N8,C6:C35,M11)</f>
        <v>1580000</v>
      </c>
      <c r="O11" s="55">
        <f>SUMIFS(F6:F35,B6:B35,B10,C6:C35,C10)</f>
        <v>2370000</v>
      </c>
      <c r="P11" s="55">
        <f>SUMIFS(F6:F35,B6:B35,B12,C6:C35,C10)</f>
        <v>790000</v>
      </c>
    </row>
    <row r="12" spans="1:23" ht="19.5" thickTop="1" x14ac:dyDescent="0.3">
      <c r="A12" s="13">
        <v>43592</v>
      </c>
      <c r="B12" s="5" t="s">
        <v>4</v>
      </c>
      <c r="C12" s="5" t="s">
        <v>10</v>
      </c>
      <c r="D12" s="10">
        <v>590000</v>
      </c>
      <c r="E12" s="7">
        <v>3</v>
      </c>
      <c r="F12" s="10">
        <f t="shared" si="0"/>
        <v>1770000</v>
      </c>
      <c r="M12" s="53"/>
    </row>
    <row r="13" spans="1:23" x14ac:dyDescent="0.25">
      <c r="A13" s="13">
        <v>43593</v>
      </c>
      <c r="B13" s="5" t="s">
        <v>3</v>
      </c>
      <c r="C13" s="5" t="s">
        <v>15</v>
      </c>
      <c r="D13" s="8">
        <v>750000</v>
      </c>
      <c r="E13" s="7">
        <v>2</v>
      </c>
      <c r="F13" s="8">
        <f t="shared" si="0"/>
        <v>1500000</v>
      </c>
    </row>
    <row r="14" spans="1:23" x14ac:dyDescent="0.25">
      <c r="A14" s="14">
        <v>43594</v>
      </c>
      <c r="B14" s="9" t="s">
        <v>6</v>
      </c>
      <c r="C14" s="5" t="s">
        <v>10</v>
      </c>
      <c r="D14" s="10">
        <v>590000</v>
      </c>
      <c r="E14" s="7">
        <v>3</v>
      </c>
      <c r="F14" s="10">
        <f t="shared" si="0"/>
        <v>1770000</v>
      </c>
    </row>
    <row r="15" spans="1:23" x14ac:dyDescent="0.25">
      <c r="A15" s="13">
        <v>43595</v>
      </c>
      <c r="B15" s="5" t="s">
        <v>5</v>
      </c>
      <c r="C15" s="5" t="s">
        <v>15</v>
      </c>
      <c r="D15" s="6">
        <v>750000</v>
      </c>
      <c r="E15" s="7">
        <v>2</v>
      </c>
      <c r="F15" s="6">
        <f t="shared" si="0"/>
        <v>1500000</v>
      </c>
    </row>
    <row r="16" spans="1:23" x14ac:dyDescent="0.25">
      <c r="A16" s="13">
        <v>43596</v>
      </c>
      <c r="B16" s="5" t="s">
        <v>4</v>
      </c>
      <c r="C16" s="9" t="s">
        <v>12</v>
      </c>
      <c r="D16" s="8">
        <v>460000</v>
      </c>
      <c r="E16" s="7">
        <v>1</v>
      </c>
      <c r="F16" s="8">
        <f t="shared" si="0"/>
        <v>460000</v>
      </c>
    </row>
    <row r="17" spans="1:6" x14ac:dyDescent="0.25">
      <c r="A17" s="13">
        <v>43597</v>
      </c>
      <c r="B17" s="9" t="s">
        <v>6</v>
      </c>
      <c r="C17" s="5" t="s">
        <v>12</v>
      </c>
      <c r="D17" s="8">
        <v>460000</v>
      </c>
      <c r="E17" s="11">
        <v>1</v>
      </c>
      <c r="F17" s="8">
        <f t="shared" si="0"/>
        <v>460000</v>
      </c>
    </row>
    <row r="18" spans="1:6" x14ac:dyDescent="0.25">
      <c r="A18" s="13">
        <v>43598</v>
      </c>
      <c r="B18" s="5" t="s">
        <v>7</v>
      </c>
      <c r="C18" s="9" t="s">
        <v>15</v>
      </c>
      <c r="D18" s="12">
        <v>750000</v>
      </c>
      <c r="E18" s="7">
        <v>1</v>
      </c>
      <c r="F18" s="12">
        <f t="shared" si="0"/>
        <v>750000</v>
      </c>
    </row>
    <row r="19" spans="1:6" x14ac:dyDescent="0.25">
      <c r="A19" s="13">
        <v>43599</v>
      </c>
      <c r="B19" s="9" t="s">
        <v>7</v>
      </c>
      <c r="C19" s="5" t="s">
        <v>10</v>
      </c>
      <c r="D19" s="6">
        <v>590000</v>
      </c>
      <c r="E19" s="11">
        <v>2</v>
      </c>
      <c r="F19" s="6">
        <f t="shared" si="0"/>
        <v>1180000</v>
      </c>
    </row>
    <row r="20" spans="1:6" x14ac:dyDescent="0.25">
      <c r="A20" s="14">
        <v>43600</v>
      </c>
      <c r="B20" s="5" t="s">
        <v>3</v>
      </c>
      <c r="C20" s="5" t="s">
        <v>14</v>
      </c>
      <c r="D20" s="8">
        <v>375000</v>
      </c>
      <c r="E20" s="7">
        <v>2</v>
      </c>
      <c r="F20" s="8">
        <f t="shared" si="0"/>
        <v>750000</v>
      </c>
    </row>
    <row r="21" spans="1:6" x14ac:dyDescent="0.25">
      <c r="A21" s="13">
        <v>43601</v>
      </c>
      <c r="B21" s="5" t="s">
        <v>4</v>
      </c>
      <c r="C21" s="5" t="s">
        <v>13</v>
      </c>
      <c r="D21" s="8">
        <v>790000</v>
      </c>
      <c r="E21" s="7">
        <v>1</v>
      </c>
      <c r="F21" s="8">
        <f t="shared" si="0"/>
        <v>790000</v>
      </c>
    </row>
    <row r="22" spans="1:6" x14ac:dyDescent="0.25">
      <c r="A22" s="13">
        <v>43602</v>
      </c>
      <c r="B22" s="5" t="s">
        <v>5</v>
      </c>
      <c r="C22" s="5" t="s">
        <v>13</v>
      </c>
      <c r="D22" s="10">
        <v>790000</v>
      </c>
      <c r="E22" s="7">
        <v>1</v>
      </c>
      <c r="F22" s="10">
        <f t="shared" si="0"/>
        <v>790000</v>
      </c>
    </row>
    <row r="23" spans="1:6" x14ac:dyDescent="0.25">
      <c r="A23" s="13">
        <v>43603</v>
      </c>
      <c r="B23" s="5" t="s">
        <v>8</v>
      </c>
      <c r="C23" s="5" t="s">
        <v>10</v>
      </c>
      <c r="D23" s="8">
        <v>590000</v>
      </c>
      <c r="E23" s="7">
        <v>2</v>
      </c>
      <c r="F23" s="8">
        <f t="shared" si="0"/>
        <v>1180000</v>
      </c>
    </row>
    <row r="24" spans="1:6" x14ac:dyDescent="0.25">
      <c r="A24" s="13">
        <v>43604</v>
      </c>
      <c r="B24" s="5" t="s">
        <v>4</v>
      </c>
      <c r="C24" s="5" t="s">
        <v>14</v>
      </c>
      <c r="D24" s="12">
        <v>375000</v>
      </c>
      <c r="E24" s="7">
        <v>2</v>
      </c>
      <c r="F24" s="12">
        <f t="shared" si="0"/>
        <v>750000</v>
      </c>
    </row>
    <row r="25" spans="1:6" x14ac:dyDescent="0.25">
      <c r="A25" s="14">
        <v>43605</v>
      </c>
      <c r="B25" s="5" t="s">
        <v>8</v>
      </c>
      <c r="C25" s="9" t="s">
        <v>10</v>
      </c>
      <c r="D25" s="6">
        <v>590000</v>
      </c>
      <c r="E25" s="7">
        <v>1</v>
      </c>
      <c r="F25" s="6">
        <f t="shared" si="0"/>
        <v>590000</v>
      </c>
    </row>
    <row r="26" spans="1:6" x14ac:dyDescent="0.25">
      <c r="A26" s="13">
        <v>43606</v>
      </c>
      <c r="B26" s="9" t="s">
        <v>7</v>
      </c>
      <c r="C26" s="9" t="s">
        <v>15</v>
      </c>
      <c r="D26" s="8">
        <v>750000</v>
      </c>
      <c r="E26" s="7">
        <v>1</v>
      </c>
      <c r="F26" s="8">
        <f t="shared" si="0"/>
        <v>750000</v>
      </c>
    </row>
    <row r="27" spans="1:6" x14ac:dyDescent="0.25">
      <c r="A27" s="13">
        <v>43607</v>
      </c>
      <c r="B27" s="5" t="s">
        <v>5</v>
      </c>
      <c r="C27" s="5" t="s">
        <v>12</v>
      </c>
      <c r="D27" s="6">
        <v>460000</v>
      </c>
      <c r="E27" s="7">
        <v>1</v>
      </c>
      <c r="F27" s="6">
        <f t="shared" si="0"/>
        <v>460000</v>
      </c>
    </row>
    <row r="28" spans="1:6" x14ac:dyDescent="0.25">
      <c r="A28" s="13">
        <v>43608</v>
      </c>
      <c r="B28" s="5" t="s">
        <v>5</v>
      </c>
      <c r="C28" s="9" t="s">
        <v>12</v>
      </c>
      <c r="D28" s="12">
        <v>460000</v>
      </c>
      <c r="E28" s="7">
        <v>3</v>
      </c>
      <c r="F28" s="12">
        <f t="shared" si="0"/>
        <v>1380000</v>
      </c>
    </row>
    <row r="29" spans="1:6" x14ac:dyDescent="0.25">
      <c r="A29" s="13">
        <v>43609</v>
      </c>
      <c r="B29" s="5" t="s">
        <v>7</v>
      </c>
      <c r="C29" s="5" t="s">
        <v>14</v>
      </c>
      <c r="D29" s="8">
        <v>375000</v>
      </c>
      <c r="E29" s="7">
        <v>1</v>
      </c>
      <c r="F29" s="8">
        <f t="shared" si="0"/>
        <v>375000</v>
      </c>
    </row>
    <row r="30" spans="1:6" x14ac:dyDescent="0.25">
      <c r="A30" s="13">
        <v>43610</v>
      </c>
      <c r="B30" s="5" t="s">
        <v>3</v>
      </c>
      <c r="C30" s="5" t="s">
        <v>13</v>
      </c>
      <c r="D30" s="6">
        <v>790000</v>
      </c>
      <c r="E30" s="7">
        <v>2</v>
      </c>
      <c r="F30" s="6">
        <f t="shared" si="0"/>
        <v>1580000</v>
      </c>
    </row>
    <row r="31" spans="1:6" x14ac:dyDescent="0.25">
      <c r="A31" s="13">
        <v>43611</v>
      </c>
      <c r="B31" s="9" t="s">
        <v>6</v>
      </c>
      <c r="C31" s="5" t="s">
        <v>10</v>
      </c>
      <c r="D31" s="8">
        <v>590000</v>
      </c>
      <c r="E31" s="7">
        <v>1</v>
      </c>
      <c r="F31" s="8">
        <f t="shared" si="0"/>
        <v>590000</v>
      </c>
    </row>
    <row r="32" spans="1:6" x14ac:dyDescent="0.25">
      <c r="A32" s="13">
        <v>43612</v>
      </c>
      <c r="B32" s="5" t="s">
        <v>4</v>
      </c>
      <c r="C32" s="5" t="s">
        <v>14</v>
      </c>
      <c r="D32" s="12">
        <v>375000</v>
      </c>
      <c r="E32" s="7">
        <v>2</v>
      </c>
      <c r="F32" s="12">
        <f t="shared" si="0"/>
        <v>750000</v>
      </c>
    </row>
    <row r="33" spans="1:6" x14ac:dyDescent="0.25">
      <c r="A33" s="14">
        <v>43613</v>
      </c>
      <c r="B33" s="5" t="s">
        <v>3</v>
      </c>
      <c r="C33" s="5" t="s">
        <v>10</v>
      </c>
      <c r="D33" s="8">
        <v>590000</v>
      </c>
      <c r="E33" s="7">
        <v>3</v>
      </c>
      <c r="F33" s="8">
        <f t="shared" si="0"/>
        <v>1770000</v>
      </c>
    </row>
    <row r="34" spans="1:6" x14ac:dyDescent="0.25">
      <c r="A34" s="13">
        <v>43614</v>
      </c>
      <c r="B34" s="5" t="s">
        <v>4</v>
      </c>
      <c r="C34" s="5" t="s">
        <v>15</v>
      </c>
      <c r="D34" s="10">
        <v>750000</v>
      </c>
      <c r="E34" s="7">
        <v>1</v>
      </c>
      <c r="F34" s="10">
        <f t="shared" si="0"/>
        <v>750000</v>
      </c>
    </row>
    <row r="35" spans="1:6" x14ac:dyDescent="0.25">
      <c r="A35" s="13">
        <v>43615</v>
      </c>
      <c r="B35" s="5" t="s">
        <v>8</v>
      </c>
      <c r="C35" s="5" t="s">
        <v>12</v>
      </c>
      <c r="D35" s="8">
        <v>460000</v>
      </c>
      <c r="E35" s="7">
        <v>1</v>
      </c>
      <c r="F35" s="8">
        <f t="shared" si="0"/>
        <v>460000</v>
      </c>
    </row>
    <row r="56" spans="1:1" x14ac:dyDescent="0.25">
      <c r="A56" t="s">
        <v>28</v>
      </c>
    </row>
  </sheetData>
  <mergeCells count="2">
    <mergeCell ref="A4:C4"/>
    <mergeCell ref="N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4"/>
  <sheetViews>
    <sheetView workbookViewId="0">
      <selection activeCell="F5" sqref="F5:F34"/>
    </sheetView>
  </sheetViews>
  <sheetFormatPr defaultRowHeight="15" x14ac:dyDescent="0.25"/>
  <cols>
    <col min="1" max="1" width="11" bestFit="1" customWidth="1"/>
    <col min="3" max="3" width="12.28515625" bestFit="1" customWidth="1"/>
    <col min="4" max="4" width="13.7109375" customWidth="1"/>
    <col min="6" max="6" width="13.140625" bestFit="1" customWidth="1"/>
    <col min="10" max="10" width="11.7109375" bestFit="1" customWidth="1"/>
    <col min="11" max="11" width="13.5703125" customWidth="1"/>
  </cols>
  <sheetData>
    <row r="1" spans="1:11" x14ac:dyDescent="0.25">
      <c r="A1" s="15" t="s">
        <v>48</v>
      </c>
    </row>
    <row r="3" spans="1:11" x14ac:dyDescent="0.25">
      <c r="J3" s="23" t="s">
        <v>9</v>
      </c>
      <c r="K3" s="23" t="s">
        <v>47</v>
      </c>
    </row>
    <row r="4" spans="1:11" x14ac:dyDescent="0.25">
      <c r="A4" s="4" t="s">
        <v>1</v>
      </c>
      <c r="B4" s="4" t="s">
        <v>2</v>
      </c>
      <c r="C4" s="4" t="s">
        <v>9</v>
      </c>
      <c r="D4" s="4" t="s">
        <v>11</v>
      </c>
      <c r="E4" s="4" t="s">
        <v>17</v>
      </c>
      <c r="F4" s="4" t="s">
        <v>18</v>
      </c>
      <c r="J4" s="16" t="s">
        <v>10</v>
      </c>
      <c r="K4" s="16">
        <v>590000</v>
      </c>
    </row>
    <row r="5" spans="1:11" x14ac:dyDescent="0.25">
      <c r="A5" s="13">
        <v>43586</v>
      </c>
      <c r="B5" s="5" t="s">
        <v>3</v>
      </c>
      <c r="C5" s="5" t="s">
        <v>10</v>
      </c>
      <c r="D5" s="24">
        <f>_xlfn.XLOOKUP(C5,J:J,K:K)</f>
        <v>590000</v>
      </c>
      <c r="E5" s="7">
        <v>1</v>
      </c>
      <c r="F5" s="24">
        <f>D5*E5</f>
        <v>590000</v>
      </c>
      <c r="J5" s="16" t="s">
        <v>15</v>
      </c>
      <c r="K5" s="16">
        <v>750000</v>
      </c>
    </row>
    <row r="6" spans="1:11" x14ac:dyDescent="0.25">
      <c r="A6" s="13">
        <v>43587</v>
      </c>
      <c r="B6" s="5" t="s">
        <v>4</v>
      </c>
      <c r="C6" s="5" t="s">
        <v>15</v>
      </c>
      <c r="D6" s="24">
        <f t="shared" ref="D6:D34" si="0">_xlfn.XLOOKUP(C6,J:J,K:K)</f>
        <v>750000</v>
      </c>
      <c r="E6" s="7">
        <v>2</v>
      </c>
      <c r="F6" s="24">
        <f t="shared" ref="F6:F34" si="1">D6*E6</f>
        <v>1500000</v>
      </c>
      <c r="J6" s="16" t="s">
        <v>12</v>
      </c>
      <c r="K6" s="16">
        <v>460000</v>
      </c>
    </row>
    <row r="7" spans="1:11" x14ac:dyDescent="0.25">
      <c r="A7" s="13">
        <v>43588</v>
      </c>
      <c r="B7" s="5" t="s">
        <v>5</v>
      </c>
      <c r="C7" s="5" t="s">
        <v>10</v>
      </c>
      <c r="D7" s="24">
        <f t="shared" si="0"/>
        <v>590000</v>
      </c>
      <c r="E7" s="7">
        <v>1</v>
      </c>
      <c r="F7" s="24">
        <f t="shared" si="1"/>
        <v>590000</v>
      </c>
      <c r="J7" s="16" t="s">
        <v>13</v>
      </c>
      <c r="K7" s="16">
        <v>790000</v>
      </c>
    </row>
    <row r="8" spans="1:11" x14ac:dyDescent="0.25">
      <c r="A8" s="13">
        <v>43589</v>
      </c>
      <c r="B8" s="5" t="s">
        <v>6</v>
      </c>
      <c r="C8" s="5" t="s">
        <v>12</v>
      </c>
      <c r="D8" s="24">
        <f t="shared" si="0"/>
        <v>460000</v>
      </c>
      <c r="E8" s="7">
        <v>1</v>
      </c>
      <c r="F8" s="24">
        <f t="shared" si="1"/>
        <v>460000</v>
      </c>
      <c r="J8" s="16" t="s">
        <v>14</v>
      </c>
      <c r="K8" s="16">
        <v>375000</v>
      </c>
    </row>
    <row r="9" spans="1:11" x14ac:dyDescent="0.25">
      <c r="A9" s="13">
        <v>43590</v>
      </c>
      <c r="B9" s="5" t="s">
        <v>7</v>
      </c>
      <c r="C9" s="9" t="s">
        <v>13</v>
      </c>
      <c r="D9" s="24">
        <f t="shared" si="0"/>
        <v>790000</v>
      </c>
      <c r="E9" s="7">
        <v>3</v>
      </c>
      <c r="F9" s="24">
        <f t="shared" si="1"/>
        <v>2370000</v>
      </c>
      <c r="J9" s="16" t="s">
        <v>16</v>
      </c>
      <c r="K9" s="16">
        <v>348000</v>
      </c>
    </row>
    <row r="10" spans="1:11" x14ac:dyDescent="0.25">
      <c r="A10" s="13">
        <v>43591</v>
      </c>
      <c r="B10" s="5" t="s">
        <v>3</v>
      </c>
      <c r="C10" s="5" t="s">
        <v>14</v>
      </c>
      <c r="D10" s="24">
        <f t="shared" si="0"/>
        <v>375000</v>
      </c>
      <c r="E10" s="7">
        <v>2</v>
      </c>
      <c r="F10" s="24">
        <f t="shared" si="1"/>
        <v>750000</v>
      </c>
    </row>
    <row r="11" spans="1:11" x14ac:dyDescent="0.25">
      <c r="A11" s="13">
        <v>43592</v>
      </c>
      <c r="B11" s="5" t="s">
        <v>4</v>
      </c>
      <c r="C11" s="5" t="s">
        <v>10</v>
      </c>
      <c r="D11" s="24">
        <f t="shared" si="0"/>
        <v>590000</v>
      </c>
      <c r="E11" s="7">
        <v>3</v>
      </c>
      <c r="F11" s="24">
        <f t="shared" si="1"/>
        <v>1770000</v>
      </c>
    </row>
    <row r="12" spans="1:11" x14ac:dyDescent="0.25">
      <c r="A12" s="13">
        <v>43593</v>
      </c>
      <c r="B12" s="5" t="s">
        <v>3</v>
      </c>
      <c r="C12" s="5" t="s">
        <v>15</v>
      </c>
      <c r="D12" s="24">
        <f t="shared" si="0"/>
        <v>750000</v>
      </c>
      <c r="E12" s="7">
        <v>2</v>
      </c>
      <c r="F12" s="24">
        <f t="shared" si="1"/>
        <v>1500000</v>
      </c>
    </row>
    <row r="13" spans="1:11" x14ac:dyDescent="0.25">
      <c r="A13" s="14">
        <v>43594</v>
      </c>
      <c r="B13" s="9" t="s">
        <v>6</v>
      </c>
      <c r="C13" s="5" t="s">
        <v>10</v>
      </c>
      <c r="D13" s="24">
        <f t="shared" si="0"/>
        <v>590000</v>
      </c>
      <c r="E13" s="7">
        <v>3</v>
      </c>
      <c r="F13" s="24">
        <f t="shared" si="1"/>
        <v>1770000</v>
      </c>
    </row>
    <row r="14" spans="1:11" x14ac:dyDescent="0.25">
      <c r="A14" s="13">
        <v>43595</v>
      </c>
      <c r="B14" s="5" t="s">
        <v>5</v>
      </c>
      <c r="C14" s="5" t="s">
        <v>15</v>
      </c>
      <c r="D14" s="24">
        <f t="shared" si="0"/>
        <v>750000</v>
      </c>
      <c r="E14" s="7">
        <v>2</v>
      </c>
      <c r="F14" s="24">
        <f t="shared" si="1"/>
        <v>1500000</v>
      </c>
    </row>
    <row r="15" spans="1:11" x14ac:dyDescent="0.25">
      <c r="A15" s="13">
        <v>43596</v>
      </c>
      <c r="B15" s="5" t="s">
        <v>4</v>
      </c>
      <c r="C15" s="9" t="s">
        <v>12</v>
      </c>
      <c r="D15" s="24">
        <f t="shared" si="0"/>
        <v>460000</v>
      </c>
      <c r="E15" s="7">
        <v>1</v>
      </c>
      <c r="F15" s="24">
        <f t="shared" si="1"/>
        <v>460000</v>
      </c>
    </row>
    <row r="16" spans="1:11" x14ac:dyDescent="0.25">
      <c r="A16" s="13">
        <v>43597</v>
      </c>
      <c r="B16" s="9" t="s">
        <v>6</v>
      </c>
      <c r="C16" s="5" t="s">
        <v>12</v>
      </c>
      <c r="D16" s="24">
        <f t="shared" si="0"/>
        <v>460000</v>
      </c>
      <c r="E16" s="11">
        <v>1</v>
      </c>
      <c r="F16" s="24">
        <f t="shared" si="1"/>
        <v>460000</v>
      </c>
    </row>
    <row r="17" spans="1:6" x14ac:dyDescent="0.25">
      <c r="A17" s="13">
        <v>43598</v>
      </c>
      <c r="B17" s="5" t="s">
        <v>7</v>
      </c>
      <c r="C17" s="9" t="s">
        <v>15</v>
      </c>
      <c r="D17" s="24">
        <f t="shared" si="0"/>
        <v>750000</v>
      </c>
      <c r="E17" s="7">
        <v>1</v>
      </c>
      <c r="F17" s="24">
        <f t="shared" si="1"/>
        <v>750000</v>
      </c>
    </row>
    <row r="18" spans="1:6" x14ac:dyDescent="0.25">
      <c r="A18" s="13">
        <v>43599</v>
      </c>
      <c r="B18" s="9" t="s">
        <v>7</v>
      </c>
      <c r="C18" s="5" t="s">
        <v>10</v>
      </c>
      <c r="D18" s="24">
        <f t="shared" si="0"/>
        <v>590000</v>
      </c>
      <c r="E18" s="11">
        <v>2</v>
      </c>
      <c r="F18" s="24">
        <f t="shared" si="1"/>
        <v>1180000</v>
      </c>
    </row>
    <row r="19" spans="1:6" x14ac:dyDescent="0.25">
      <c r="A19" s="14">
        <v>43600</v>
      </c>
      <c r="B19" s="5" t="s">
        <v>3</v>
      </c>
      <c r="C19" s="5" t="s">
        <v>14</v>
      </c>
      <c r="D19" s="24">
        <f t="shared" si="0"/>
        <v>375000</v>
      </c>
      <c r="E19" s="7">
        <v>2</v>
      </c>
      <c r="F19" s="24">
        <f t="shared" si="1"/>
        <v>750000</v>
      </c>
    </row>
    <row r="20" spans="1:6" x14ac:dyDescent="0.25">
      <c r="A20" s="13">
        <v>43601</v>
      </c>
      <c r="B20" s="5" t="s">
        <v>4</v>
      </c>
      <c r="C20" s="5" t="s">
        <v>13</v>
      </c>
      <c r="D20" s="24">
        <f t="shared" si="0"/>
        <v>790000</v>
      </c>
      <c r="E20" s="7">
        <v>1</v>
      </c>
      <c r="F20" s="24">
        <f t="shared" si="1"/>
        <v>790000</v>
      </c>
    </row>
    <row r="21" spans="1:6" x14ac:dyDescent="0.25">
      <c r="A21" s="13">
        <v>43602</v>
      </c>
      <c r="B21" s="5" t="s">
        <v>5</v>
      </c>
      <c r="C21" s="5" t="s">
        <v>13</v>
      </c>
      <c r="D21" s="24">
        <f t="shared" si="0"/>
        <v>790000</v>
      </c>
      <c r="E21" s="7">
        <v>1</v>
      </c>
      <c r="F21" s="24">
        <f t="shared" si="1"/>
        <v>790000</v>
      </c>
    </row>
    <row r="22" spans="1:6" x14ac:dyDescent="0.25">
      <c r="A22" s="13">
        <v>43603</v>
      </c>
      <c r="B22" s="5" t="s">
        <v>8</v>
      </c>
      <c r="C22" s="5" t="s">
        <v>10</v>
      </c>
      <c r="D22" s="24">
        <f t="shared" si="0"/>
        <v>590000</v>
      </c>
      <c r="E22" s="7">
        <v>2</v>
      </c>
      <c r="F22" s="24">
        <f t="shared" si="1"/>
        <v>1180000</v>
      </c>
    </row>
    <row r="23" spans="1:6" x14ac:dyDescent="0.25">
      <c r="A23" s="13">
        <v>43604</v>
      </c>
      <c r="B23" s="5" t="s">
        <v>4</v>
      </c>
      <c r="C23" s="5" t="s">
        <v>14</v>
      </c>
      <c r="D23" s="24">
        <f t="shared" si="0"/>
        <v>375000</v>
      </c>
      <c r="E23" s="7">
        <v>2</v>
      </c>
      <c r="F23" s="24">
        <f t="shared" si="1"/>
        <v>750000</v>
      </c>
    </row>
    <row r="24" spans="1:6" x14ac:dyDescent="0.25">
      <c r="A24" s="14">
        <v>43605</v>
      </c>
      <c r="B24" s="5" t="s">
        <v>8</v>
      </c>
      <c r="C24" s="9" t="s">
        <v>10</v>
      </c>
      <c r="D24" s="24">
        <f t="shared" si="0"/>
        <v>590000</v>
      </c>
      <c r="E24" s="7">
        <v>1</v>
      </c>
      <c r="F24" s="24">
        <f t="shared" si="1"/>
        <v>590000</v>
      </c>
    </row>
    <row r="25" spans="1:6" x14ac:dyDescent="0.25">
      <c r="A25" s="13">
        <v>43606</v>
      </c>
      <c r="B25" s="9" t="s">
        <v>7</v>
      </c>
      <c r="C25" s="9" t="s">
        <v>15</v>
      </c>
      <c r="D25" s="24">
        <f t="shared" si="0"/>
        <v>750000</v>
      </c>
      <c r="E25" s="7">
        <v>1</v>
      </c>
      <c r="F25" s="24">
        <f t="shared" si="1"/>
        <v>750000</v>
      </c>
    </row>
    <row r="26" spans="1:6" x14ac:dyDescent="0.25">
      <c r="A26" s="13">
        <v>43607</v>
      </c>
      <c r="B26" s="5" t="s">
        <v>5</v>
      </c>
      <c r="C26" s="5" t="s">
        <v>12</v>
      </c>
      <c r="D26" s="24">
        <f t="shared" si="0"/>
        <v>460000</v>
      </c>
      <c r="E26" s="7">
        <v>1</v>
      </c>
      <c r="F26" s="24">
        <f t="shared" si="1"/>
        <v>460000</v>
      </c>
    </row>
    <row r="27" spans="1:6" x14ac:dyDescent="0.25">
      <c r="A27" s="13">
        <v>43608</v>
      </c>
      <c r="B27" s="5" t="s">
        <v>5</v>
      </c>
      <c r="C27" s="9" t="s">
        <v>12</v>
      </c>
      <c r="D27" s="24">
        <f t="shared" si="0"/>
        <v>460000</v>
      </c>
      <c r="E27" s="7">
        <v>3</v>
      </c>
      <c r="F27" s="24">
        <f t="shared" si="1"/>
        <v>1380000</v>
      </c>
    </row>
    <row r="28" spans="1:6" x14ac:dyDescent="0.25">
      <c r="A28" s="13">
        <v>43609</v>
      </c>
      <c r="B28" s="5" t="s">
        <v>7</v>
      </c>
      <c r="C28" s="5" t="s">
        <v>14</v>
      </c>
      <c r="D28" s="24">
        <f t="shared" si="0"/>
        <v>375000</v>
      </c>
      <c r="E28" s="7">
        <v>1</v>
      </c>
      <c r="F28" s="24">
        <f t="shared" si="1"/>
        <v>375000</v>
      </c>
    </row>
    <row r="29" spans="1:6" x14ac:dyDescent="0.25">
      <c r="A29" s="13">
        <v>43610</v>
      </c>
      <c r="B29" s="5" t="s">
        <v>3</v>
      </c>
      <c r="C29" s="5" t="s">
        <v>13</v>
      </c>
      <c r="D29" s="24">
        <f t="shared" si="0"/>
        <v>790000</v>
      </c>
      <c r="E29" s="7">
        <v>2</v>
      </c>
      <c r="F29" s="24">
        <f t="shared" si="1"/>
        <v>1580000</v>
      </c>
    </row>
    <row r="30" spans="1:6" x14ac:dyDescent="0.25">
      <c r="A30" s="13">
        <v>43611</v>
      </c>
      <c r="B30" s="9" t="s">
        <v>6</v>
      </c>
      <c r="C30" s="5" t="s">
        <v>10</v>
      </c>
      <c r="D30" s="24">
        <f t="shared" si="0"/>
        <v>590000</v>
      </c>
      <c r="E30" s="7">
        <v>1</v>
      </c>
      <c r="F30" s="24">
        <f t="shared" si="1"/>
        <v>590000</v>
      </c>
    </row>
    <row r="31" spans="1:6" x14ac:dyDescent="0.25">
      <c r="A31" s="13">
        <v>43612</v>
      </c>
      <c r="B31" s="5" t="s">
        <v>4</v>
      </c>
      <c r="C31" s="5" t="s">
        <v>14</v>
      </c>
      <c r="D31" s="24">
        <f t="shared" si="0"/>
        <v>375000</v>
      </c>
      <c r="E31" s="7">
        <v>2</v>
      </c>
      <c r="F31" s="24">
        <f t="shared" si="1"/>
        <v>750000</v>
      </c>
    </row>
    <row r="32" spans="1:6" x14ac:dyDescent="0.25">
      <c r="A32" s="14">
        <v>43613</v>
      </c>
      <c r="B32" s="5" t="s">
        <v>3</v>
      </c>
      <c r="C32" s="5" t="s">
        <v>10</v>
      </c>
      <c r="D32" s="24">
        <f t="shared" si="0"/>
        <v>590000</v>
      </c>
      <c r="E32" s="7">
        <v>3</v>
      </c>
      <c r="F32" s="24">
        <f t="shared" si="1"/>
        <v>1770000</v>
      </c>
    </row>
    <row r="33" spans="1:6" x14ac:dyDescent="0.25">
      <c r="A33" s="13">
        <v>43614</v>
      </c>
      <c r="B33" s="5" t="s">
        <v>4</v>
      </c>
      <c r="C33" s="5" t="s">
        <v>15</v>
      </c>
      <c r="D33" s="24">
        <f t="shared" si="0"/>
        <v>750000</v>
      </c>
      <c r="E33" s="7">
        <v>1</v>
      </c>
      <c r="F33" s="24">
        <f t="shared" si="1"/>
        <v>750000</v>
      </c>
    </row>
    <row r="34" spans="1:6" x14ac:dyDescent="0.25">
      <c r="A34" s="13">
        <v>43615</v>
      </c>
      <c r="B34" s="5" t="s">
        <v>8</v>
      </c>
      <c r="C34" s="5" t="s">
        <v>12</v>
      </c>
      <c r="D34" s="24">
        <f t="shared" si="0"/>
        <v>460000</v>
      </c>
      <c r="E34" s="7">
        <v>1</v>
      </c>
      <c r="F34" s="24">
        <f t="shared" si="1"/>
        <v>460000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9"/>
  <sheetViews>
    <sheetView workbookViewId="0">
      <selection activeCell="O26" sqref="O26"/>
    </sheetView>
  </sheetViews>
  <sheetFormatPr defaultRowHeight="15" x14ac:dyDescent="0.25"/>
  <cols>
    <col min="1" max="1" width="13.140625" customWidth="1"/>
    <col min="2" max="2" width="15.140625" customWidth="1"/>
    <col min="3" max="3" width="13.85546875" customWidth="1"/>
    <col min="4" max="4" width="13.140625" customWidth="1"/>
    <col min="5" max="5" width="10.42578125" bestFit="1" customWidth="1"/>
    <col min="6" max="6" width="13.140625" bestFit="1" customWidth="1"/>
    <col min="8" max="8" width="11.7109375" bestFit="1" customWidth="1"/>
    <col min="9" max="9" width="13.5703125" customWidth="1"/>
  </cols>
  <sheetData>
    <row r="1" spans="1:19" x14ac:dyDescent="0.25">
      <c r="A1" s="15" t="s">
        <v>51</v>
      </c>
    </row>
    <row r="3" spans="1:19" ht="15.75" thickBot="1" x14ac:dyDescent="0.3">
      <c r="H3" s="23" t="s">
        <v>9</v>
      </c>
      <c r="I3" s="23" t="s">
        <v>47</v>
      </c>
    </row>
    <row r="4" spans="1:19" x14ac:dyDescent="0.25">
      <c r="A4" s="25" t="s">
        <v>9</v>
      </c>
      <c r="B4" s="26" t="s">
        <v>11</v>
      </c>
      <c r="C4" s="26" t="s">
        <v>17</v>
      </c>
      <c r="D4" s="27" t="s">
        <v>18</v>
      </c>
      <c r="H4" s="16" t="s">
        <v>10</v>
      </c>
      <c r="I4" s="16">
        <v>590000</v>
      </c>
    </row>
    <row r="5" spans="1:19" x14ac:dyDescent="0.25">
      <c r="A5" s="16" t="s">
        <v>10</v>
      </c>
      <c r="B5" s="16">
        <f>_xlfn.XLOOKUP(A5,H:H,I:I)</f>
        <v>590000</v>
      </c>
      <c r="C5" s="7">
        <f>SUMIFS('Task 7'!E5:E34,'Task 7'!C5:C34,'Task 8'!A5)</f>
        <v>17</v>
      </c>
      <c r="D5" s="29">
        <f>B5*C5</f>
        <v>10030000</v>
      </c>
      <c r="H5" s="16" t="s">
        <v>15</v>
      </c>
      <c r="I5" s="16">
        <v>750000</v>
      </c>
    </row>
    <row r="6" spans="1:19" x14ac:dyDescent="0.25">
      <c r="A6" s="16" t="s">
        <v>15</v>
      </c>
      <c r="B6" s="16">
        <f t="shared" ref="B6:B10" si="0">_xlfn.XLOOKUP(A6,H:H,I:I)</f>
        <v>750000</v>
      </c>
      <c r="C6" s="7">
        <f>SUMIFS('Task 7'!E6:E35,'Task 7'!C6:C35,'Task 8'!A6)</f>
        <v>9</v>
      </c>
      <c r="D6" s="29">
        <f t="shared" ref="D6:D10" si="1">B6*C6</f>
        <v>6750000</v>
      </c>
      <c r="H6" s="16" t="s">
        <v>12</v>
      </c>
      <c r="I6" s="16">
        <v>460000</v>
      </c>
    </row>
    <row r="7" spans="1:19" x14ac:dyDescent="0.25">
      <c r="A7" s="16" t="s">
        <v>12</v>
      </c>
      <c r="B7" s="16">
        <f t="shared" si="0"/>
        <v>460000</v>
      </c>
      <c r="C7" s="7">
        <f>SUMIFS('Task 7'!E7:E36,'Task 7'!C7:C36,'Task 8'!A7)</f>
        <v>8</v>
      </c>
      <c r="D7" s="29">
        <f t="shared" si="1"/>
        <v>3680000</v>
      </c>
      <c r="H7" s="16" t="s">
        <v>13</v>
      </c>
      <c r="I7" s="16">
        <v>790000</v>
      </c>
    </row>
    <row r="8" spans="1:19" x14ac:dyDescent="0.25">
      <c r="A8" s="16" t="s">
        <v>13</v>
      </c>
      <c r="B8" s="16">
        <f t="shared" si="0"/>
        <v>790000</v>
      </c>
      <c r="C8" s="7">
        <f>SUMIFS('Task 7'!E8:E37,'Task 7'!C8:C37,'Task 8'!A8)</f>
        <v>7</v>
      </c>
      <c r="D8" s="29">
        <f t="shared" si="1"/>
        <v>5530000</v>
      </c>
      <c r="H8" s="16" t="s">
        <v>14</v>
      </c>
      <c r="I8" s="16">
        <v>375000</v>
      </c>
    </row>
    <row r="9" spans="1:19" x14ac:dyDescent="0.25">
      <c r="A9" s="16" t="s">
        <v>14</v>
      </c>
      <c r="B9" s="16">
        <f t="shared" si="0"/>
        <v>375000</v>
      </c>
      <c r="C9" s="7">
        <f>SUMIFS('Task 7'!E9:E38,'Task 7'!C9:C38,'Task 8'!A9)</f>
        <v>9</v>
      </c>
      <c r="D9" s="29">
        <f t="shared" si="1"/>
        <v>3375000</v>
      </c>
      <c r="H9" s="16" t="s">
        <v>16</v>
      </c>
      <c r="I9" s="16">
        <v>348000</v>
      </c>
    </row>
    <row r="10" spans="1:19" x14ac:dyDescent="0.25">
      <c r="A10" s="16" t="s">
        <v>16</v>
      </c>
      <c r="B10" s="16">
        <f t="shared" si="0"/>
        <v>348000</v>
      </c>
      <c r="C10" s="7">
        <f>SUMIFS('Task 7'!E10:E39,'Task 7'!C10:C39,'Task 8'!A10)</f>
        <v>0</v>
      </c>
      <c r="D10" s="29">
        <f t="shared" si="1"/>
        <v>0</v>
      </c>
    </row>
    <row r="11" spans="1:19" x14ac:dyDescent="0.25">
      <c r="A11" s="28"/>
      <c r="B11" s="7"/>
      <c r="C11" s="7"/>
      <c r="D11" s="29"/>
    </row>
    <row r="12" spans="1:19" x14ac:dyDescent="0.25">
      <c r="A12" s="28"/>
      <c r="B12" s="7"/>
      <c r="C12" s="7"/>
      <c r="D12" s="29"/>
    </row>
    <row r="13" spans="1:19" x14ac:dyDescent="0.25">
      <c r="A13" s="28"/>
      <c r="B13" s="7"/>
      <c r="C13" s="7"/>
      <c r="D13" s="29"/>
    </row>
    <row r="14" spans="1:19" x14ac:dyDescent="0.25">
      <c r="A14" s="28"/>
      <c r="B14" s="7"/>
      <c r="C14" s="7"/>
      <c r="D14" s="29"/>
    </row>
    <row r="15" spans="1:19" x14ac:dyDescent="0.25">
      <c r="A15" s="28"/>
      <c r="B15" s="7"/>
      <c r="C15" s="7"/>
      <c r="D15" s="29"/>
    </row>
    <row r="16" spans="1:19" ht="24" thickBot="1" x14ac:dyDescent="0.4">
      <c r="A16" s="68" t="s">
        <v>20</v>
      </c>
      <c r="B16" s="69"/>
      <c r="C16" s="30">
        <f>SUM(C5:C9)</f>
        <v>50</v>
      </c>
      <c r="D16" s="62">
        <f>SUM(D5:D9)</f>
        <v>29365000</v>
      </c>
      <c r="J16" s="70" t="s">
        <v>886</v>
      </c>
      <c r="K16" s="71"/>
      <c r="L16" s="71"/>
      <c r="M16" s="71"/>
      <c r="N16" s="71"/>
      <c r="O16" s="71"/>
      <c r="P16" s="71"/>
      <c r="Q16" s="71"/>
      <c r="R16" s="71"/>
      <c r="S16" s="71"/>
    </row>
    <row r="17" spans="10:19" ht="23.25" x14ac:dyDescent="0.35">
      <c r="J17" s="70"/>
      <c r="K17" s="71"/>
      <c r="L17" s="71"/>
      <c r="M17" s="71"/>
      <c r="N17" s="71"/>
      <c r="O17" s="71"/>
      <c r="P17" s="71"/>
      <c r="Q17" s="71"/>
      <c r="R17" s="71"/>
      <c r="S17" s="71"/>
    </row>
    <row r="18" spans="10:19" ht="23.25" x14ac:dyDescent="0.35">
      <c r="J18" s="70"/>
      <c r="K18" s="71"/>
      <c r="L18" s="71"/>
      <c r="M18" s="71"/>
      <c r="N18" s="71"/>
      <c r="O18" s="71"/>
      <c r="P18" s="71"/>
      <c r="Q18" s="71"/>
      <c r="R18" s="71"/>
      <c r="S18" s="71"/>
    </row>
    <row r="19" spans="10:19" ht="23.25" x14ac:dyDescent="0.35">
      <c r="J19" s="70"/>
      <c r="K19" s="71"/>
      <c r="L19" s="71"/>
      <c r="M19" s="71"/>
      <c r="N19" s="71"/>
      <c r="O19" s="71"/>
      <c r="P19" s="71"/>
      <c r="Q19" s="71"/>
      <c r="R19" s="71"/>
      <c r="S19" s="71"/>
    </row>
  </sheetData>
  <mergeCells count="5">
    <mergeCell ref="A16:B16"/>
    <mergeCell ref="J16:S16"/>
    <mergeCell ref="J17:S17"/>
    <mergeCell ref="J18:S18"/>
    <mergeCell ref="J19:S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02F1-FD9E-4C9D-8723-284992699386}">
  <dimension ref="A3:G8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0.85546875" bestFit="1" customWidth="1"/>
    <col min="4" max="4" width="12.42578125" bestFit="1" customWidth="1"/>
    <col min="5" max="5" width="11.42578125" bestFit="1" customWidth="1"/>
    <col min="6" max="6" width="17.42578125" bestFit="1" customWidth="1"/>
    <col min="7" max="7" width="16.5703125" bestFit="1" customWidth="1"/>
    <col min="8" max="8" width="6.42578125" bestFit="1" customWidth="1"/>
    <col min="9" max="9" width="7.28515625" bestFit="1" customWidth="1"/>
    <col min="10" max="10" width="5.5703125" bestFit="1" customWidth="1"/>
    <col min="11" max="11" width="5.7109375" bestFit="1" customWidth="1"/>
    <col min="12" max="12" width="7.85546875" bestFit="1" customWidth="1"/>
    <col min="13" max="13" width="6.5703125" bestFit="1" customWidth="1"/>
    <col min="14" max="14" width="10.140625" bestFit="1" customWidth="1"/>
    <col min="15" max="15" width="6.140625" bestFit="1" customWidth="1"/>
    <col min="16" max="16" width="8.28515625" bestFit="1" customWidth="1"/>
    <col min="17" max="17" width="5.5703125" bestFit="1" customWidth="1"/>
    <col min="18" max="18" width="5.140625" bestFit="1" customWidth="1"/>
    <col min="19" max="19" width="4.7109375" bestFit="1" customWidth="1"/>
    <col min="20" max="20" width="9" bestFit="1" customWidth="1"/>
    <col min="21" max="21" width="5.140625" bestFit="1" customWidth="1"/>
    <col min="22" max="22" width="6.85546875" bestFit="1" customWidth="1"/>
    <col min="23" max="23" width="11.28515625" bestFit="1" customWidth="1"/>
  </cols>
  <sheetData>
    <row r="3" spans="1:7" x14ac:dyDescent="0.25">
      <c r="A3" s="63" t="s">
        <v>887</v>
      </c>
      <c r="B3" t="s">
        <v>890</v>
      </c>
      <c r="C3" t="s">
        <v>891</v>
      </c>
      <c r="D3" t="s">
        <v>892</v>
      </c>
      <c r="E3" t="s">
        <v>893</v>
      </c>
      <c r="F3" t="s">
        <v>894</v>
      </c>
      <c r="G3" t="s">
        <v>895</v>
      </c>
    </row>
    <row r="4" spans="1:7" x14ac:dyDescent="0.25">
      <c r="A4" s="64" t="s">
        <v>30</v>
      </c>
      <c r="B4" s="61">
        <v>2770.75</v>
      </c>
      <c r="C4" s="61">
        <v>16624.5</v>
      </c>
      <c r="D4" s="61">
        <v>3324.8999999999992</v>
      </c>
      <c r="E4" s="61">
        <v>1662.4499999999996</v>
      </c>
      <c r="F4" s="61">
        <v>2216.6000000000008</v>
      </c>
      <c r="G4" s="61">
        <v>6095.6500000000005</v>
      </c>
    </row>
    <row r="5" spans="1:7" x14ac:dyDescent="0.25">
      <c r="A5" s="64" t="s">
        <v>31</v>
      </c>
      <c r="B5" s="61">
        <v>2706.5</v>
      </c>
      <c r="C5" s="61">
        <v>16239</v>
      </c>
      <c r="D5" s="61">
        <v>3247.7999999999988</v>
      </c>
      <c r="E5" s="61">
        <v>1623.8999999999994</v>
      </c>
      <c r="F5" s="61">
        <v>2165.2000000000012</v>
      </c>
      <c r="G5" s="61">
        <v>5954.3000000000029</v>
      </c>
    </row>
    <row r="6" spans="1:7" x14ac:dyDescent="0.25">
      <c r="A6" s="64" t="s">
        <v>32</v>
      </c>
      <c r="B6" s="61">
        <v>1961</v>
      </c>
      <c r="C6" s="61">
        <v>11766</v>
      </c>
      <c r="D6" s="61">
        <v>2353.1999999999998</v>
      </c>
      <c r="E6" s="61">
        <v>1176.5999999999999</v>
      </c>
      <c r="F6" s="61">
        <v>1568.8000000000004</v>
      </c>
      <c r="G6" s="61">
        <v>4314.2000000000016</v>
      </c>
    </row>
    <row r="7" spans="1:7" x14ac:dyDescent="0.25">
      <c r="A7" s="64" t="s">
        <v>889</v>
      </c>
      <c r="B7" s="61">
        <v>103</v>
      </c>
      <c r="C7" s="61">
        <v>618</v>
      </c>
      <c r="D7" s="61">
        <v>123.6</v>
      </c>
      <c r="E7" s="61">
        <v>61.8</v>
      </c>
      <c r="F7" s="61">
        <v>82.4</v>
      </c>
      <c r="G7" s="61">
        <v>226.6</v>
      </c>
    </row>
    <row r="8" spans="1:7" x14ac:dyDescent="0.25">
      <c r="A8" s="64" t="s">
        <v>888</v>
      </c>
      <c r="B8" s="61">
        <v>7541.25</v>
      </c>
      <c r="C8" s="61">
        <v>45247.5</v>
      </c>
      <c r="D8" s="61">
        <v>9049.4999999999982</v>
      </c>
      <c r="E8" s="61">
        <v>4524.7499999999991</v>
      </c>
      <c r="F8" s="61">
        <v>6033.0000000000018</v>
      </c>
      <c r="G8" s="61">
        <v>16590.750000000004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61"/>
  <sheetViews>
    <sheetView workbookViewId="0">
      <selection activeCell="C8" sqref="C8"/>
    </sheetView>
  </sheetViews>
  <sheetFormatPr defaultRowHeight="15" x14ac:dyDescent="0.25"/>
  <cols>
    <col min="1" max="1" width="11.85546875" style="1" bestFit="1" customWidth="1"/>
    <col min="15" max="15" width="9.140625" customWidth="1"/>
  </cols>
  <sheetData>
    <row r="1" spans="1:17" x14ac:dyDescent="0.25">
      <c r="A1" s="34" t="s">
        <v>52</v>
      </c>
      <c r="B1" s="23" t="s">
        <v>54</v>
      </c>
      <c r="C1" s="23" t="s">
        <v>53</v>
      </c>
      <c r="D1" s="23" t="s">
        <v>59</v>
      </c>
      <c r="E1" s="23" t="s">
        <v>56</v>
      </c>
      <c r="F1" s="23" t="s">
        <v>57</v>
      </c>
      <c r="G1" s="23" t="s">
        <v>58</v>
      </c>
      <c r="H1" s="23" t="s">
        <v>49</v>
      </c>
      <c r="I1" s="23" t="s">
        <v>50</v>
      </c>
      <c r="J1" s="23" t="s">
        <v>55</v>
      </c>
      <c r="K1" s="23" t="s">
        <v>60</v>
      </c>
      <c r="L1" s="23" t="s">
        <v>61</v>
      </c>
      <c r="M1" s="23" t="s">
        <v>62</v>
      </c>
      <c r="N1" s="23" t="s">
        <v>63</v>
      </c>
      <c r="O1" s="23" t="s">
        <v>64</v>
      </c>
      <c r="P1" s="31"/>
      <c r="Q1" s="33" t="s">
        <v>86</v>
      </c>
    </row>
    <row r="2" spans="1:17" x14ac:dyDescent="0.25">
      <c r="A2" s="35">
        <v>43465</v>
      </c>
      <c r="B2" s="16">
        <v>4</v>
      </c>
      <c r="C2" s="16" t="s">
        <v>67</v>
      </c>
      <c r="D2" s="21">
        <v>30</v>
      </c>
      <c r="E2" s="21">
        <v>6</v>
      </c>
      <c r="F2" s="21">
        <v>16.5</v>
      </c>
      <c r="G2" s="21">
        <v>7.5</v>
      </c>
      <c r="H2" s="21">
        <v>45</v>
      </c>
      <c r="I2" s="21">
        <v>9</v>
      </c>
      <c r="J2" s="21">
        <v>4.5</v>
      </c>
      <c r="K2" s="21">
        <v>24.750000000000004</v>
      </c>
      <c r="L2" s="21">
        <v>4.5</v>
      </c>
      <c r="M2" s="21">
        <v>6.75</v>
      </c>
      <c r="N2" s="21">
        <v>3.1500000000000004</v>
      </c>
      <c r="O2" s="21">
        <v>5.8500000000000005</v>
      </c>
      <c r="Q2" s="3" t="s">
        <v>83</v>
      </c>
    </row>
    <row r="3" spans="1:17" x14ac:dyDescent="0.25">
      <c r="A3" s="35">
        <v>43465</v>
      </c>
      <c r="B3" s="16">
        <v>16</v>
      </c>
      <c r="C3" s="16" t="s">
        <v>76</v>
      </c>
      <c r="D3" s="21">
        <v>40</v>
      </c>
      <c r="E3" s="21">
        <v>8</v>
      </c>
      <c r="F3" s="21">
        <v>22</v>
      </c>
      <c r="G3" s="21">
        <v>10</v>
      </c>
      <c r="H3" s="21">
        <v>60</v>
      </c>
      <c r="I3" s="21">
        <v>12</v>
      </c>
      <c r="J3" s="21">
        <v>6</v>
      </c>
      <c r="K3" s="21">
        <v>33</v>
      </c>
      <c r="L3" s="21">
        <v>6</v>
      </c>
      <c r="M3" s="21">
        <v>9</v>
      </c>
      <c r="N3" s="21">
        <v>4.2</v>
      </c>
      <c r="O3" s="21">
        <v>7.8000000000000007</v>
      </c>
      <c r="Q3" s="3" t="s">
        <v>84</v>
      </c>
    </row>
    <row r="4" spans="1:17" x14ac:dyDescent="0.25">
      <c r="A4" s="35">
        <v>43465</v>
      </c>
      <c r="B4" s="16">
        <v>3</v>
      </c>
      <c r="C4" s="16" t="s">
        <v>66</v>
      </c>
      <c r="D4" s="21">
        <v>30</v>
      </c>
      <c r="E4" s="21">
        <v>6</v>
      </c>
      <c r="F4" s="21">
        <v>16.5</v>
      </c>
      <c r="G4" s="21">
        <v>7.5</v>
      </c>
      <c r="H4" s="21">
        <v>45</v>
      </c>
      <c r="I4" s="21">
        <v>9</v>
      </c>
      <c r="J4" s="21">
        <v>4.5</v>
      </c>
      <c r="K4" s="21">
        <v>24.750000000000004</v>
      </c>
      <c r="L4" s="21">
        <v>4.5</v>
      </c>
      <c r="M4" s="21">
        <v>6.75</v>
      </c>
      <c r="N4" s="21">
        <v>3.1500000000000004</v>
      </c>
      <c r="O4" s="21">
        <v>5.8500000000000005</v>
      </c>
      <c r="Q4" s="3" t="s">
        <v>85</v>
      </c>
    </row>
    <row r="5" spans="1:17" x14ac:dyDescent="0.25">
      <c r="A5" s="35">
        <v>43465</v>
      </c>
      <c r="B5" s="16">
        <v>2</v>
      </c>
      <c r="C5" s="16" t="s">
        <v>65</v>
      </c>
      <c r="D5" s="21">
        <v>20</v>
      </c>
      <c r="E5" s="21">
        <v>4</v>
      </c>
      <c r="F5" s="21">
        <v>11</v>
      </c>
      <c r="G5" s="21">
        <v>5</v>
      </c>
      <c r="H5" s="21">
        <v>30</v>
      </c>
      <c r="I5" s="21">
        <v>6</v>
      </c>
      <c r="J5" s="21">
        <v>3</v>
      </c>
      <c r="K5" s="21">
        <v>16.5</v>
      </c>
      <c r="L5" s="21">
        <v>3</v>
      </c>
      <c r="M5" s="21">
        <v>4.5</v>
      </c>
      <c r="N5" s="21">
        <v>2.1</v>
      </c>
      <c r="O5" s="21">
        <v>3.9000000000000004</v>
      </c>
      <c r="Q5" s="32" t="s">
        <v>82</v>
      </c>
    </row>
    <row r="6" spans="1:17" x14ac:dyDescent="0.25">
      <c r="A6" s="35">
        <v>43465</v>
      </c>
      <c r="B6" s="16">
        <v>1</v>
      </c>
      <c r="C6" s="16" t="s">
        <v>3</v>
      </c>
      <c r="D6" s="21">
        <v>15</v>
      </c>
      <c r="E6" s="21">
        <v>3</v>
      </c>
      <c r="F6" s="21">
        <v>8.25</v>
      </c>
      <c r="G6" s="21">
        <v>3.75</v>
      </c>
      <c r="H6" s="21">
        <v>22.5</v>
      </c>
      <c r="I6" s="21">
        <v>4.5</v>
      </c>
      <c r="J6" s="21">
        <v>2.25</v>
      </c>
      <c r="K6" s="21">
        <v>12.375000000000002</v>
      </c>
      <c r="L6" s="21">
        <v>2.25</v>
      </c>
      <c r="M6" s="21">
        <v>3.375</v>
      </c>
      <c r="N6" s="21">
        <v>1.5750000000000002</v>
      </c>
      <c r="O6" s="21">
        <v>2.9250000000000003</v>
      </c>
    </row>
    <row r="7" spans="1:17" x14ac:dyDescent="0.25">
      <c r="A7" s="35">
        <v>43465</v>
      </c>
      <c r="B7" s="16">
        <v>18</v>
      </c>
      <c r="C7" s="16" t="s">
        <v>78</v>
      </c>
      <c r="D7" s="21">
        <v>50</v>
      </c>
      <c r="E7" s="21">
        <v>10</v>
      </c>
      <c r="F7" s="21">
        <v>27.500000000000004</v>
      </c>
      <c r="G7" s="21">
        <v>12.5</v>
      </c>
      <c r="H7" s="21">
        <v>75</v>
      </c>
      <c r="I7" s="21">
        <v>15</v>
      </c>
      <c r="J7" s="21">
        <v>7.5</v>
      </c>
      <c r="K7" s="21">
        <v>41.25</v>
      </c>
      <c r="L7" s="21">
        <v>7.5</v>
      </c>
      <c r="M7" s="21">
        <v>11.25</v>
      </c>
      <c r="N7" s="21">
        <v>5.2500000000000009</v>
      </c>
      <c r="O7" s="21">
        <v>9.75</v>
      </c>
    </row>
    <row r="8" spans="1:17" x14ac:dyDescent="0.25">
      <c r="A8" s="35">
        <v>43465</v>
      </c>
      <c r="B8" s="16">
        <v>9</v>
      </c>
      <c r="C8" s="16" t="s">
        <v>70</v>
      </c>
      <c r="D8" s="21">
        <v>60</v>
      </c>
      <c r="E8" s="21">
        <v>12</v>
      </c>
      <c r="F8" s="21">
        <v>33</v>
      </c>
      <c r="G8" s="21">
        <v>15</v>
      </c>
      <c r="H8" s="21">
        <v>90</v>
      </c>
      <c r="I8" s="21">
        <v>18</v>
      </c>
      <c r="J8" s="21">
        <v>9</v>
      </c>
      <c r="K8" s="21">
        <v>49.500000000000007</v>
      </c>
      <c r="L8" s="21">
        <v>9</v>
      </c>
      <c r="M8" s="21">
        <v>13.5</v>
      </c>
      <c r="N8" s="21">
        <v>6.3000000000000007</v>
      </c>
      <c r="O8" s="21">
        <v>11.700000000000001</v>
      </c>
    </row>
    <row r="9" spans="1:17" x14ac:dyDescent="0.25">
      <c r="A9" s="35">
        <v>43465</v>
      </c>
      <c r="B9" s="16">
        <v>6</v>
      </c>
      <c r="C9" s="16" t="s">
        <v>68</v>
      </c>
      <c r="D9" s="21">
        <v>45</v>
      </c>
      <c r="E9" s="21">
        <v>9</v>
      </c>
      <c r="F9" s="21">
        <v>24.750000000000004</v>
      </c>
      <c r="G9" s="21">
        <v>11.25</v>
      </c>
      <c r="H9" s="21">
        <v>67.5</v>
      </c>
      <c r="I9" s="21">
        <v>13.5</v>
      </c>
      <c r="J9" s="21">
        <v>6.75</v>
      </c>
      <c r="K9" s="21">
        <v>37.125</v>
      </c>
      <c r="L9" s="21">
        <v>6.75</v>
      </c>
      <c r="M9" s="21">
        <v>10.125</v>
      </c>
      <c r="N9" s="21">
        <v>4.7250000000000005</v>
      </c>
      <c r="O9" s="21">
        <v>8.7750000000000004</v>
      </c>
    </row>
    <row r="10" spans="1:17" x14ac:dyDescent="0.25">
      <c r="A10" s="35">
        <v>43465</v>
      </c>
      <c r="B10" s="16">
        <v>15</v>
      </c>
      <c r="C10" s="16" t="s">
        <v>75</v>
      </c>
      <c r="D10" s="21">
        <v>65</v>
      </c>
      <c r="E10" s="21">
        <v>13</v>
      </c>
      <c r="F10" s="21">
        <v>35.75</v>
      </c>
      <c r="G10" s="21">
        <v>16.25</v>
      </c>
      <c r="H10" s="21">
        <v>97.5</v>
      </c>
      <c r="I10" s="21">
        <v>19.5</v>
      </c>
      <c r="J10" s="21">
        <v>9.75</v>
      </c>
      <c r="K10" s="21">
        <v>53.625000000000007</v>
      </c>
      <c r="L10" s="21">
        <v>9.75</v>
      </c>
      <c r="M10" s="21">
        <v>14.625</v>
      </c>
      <c r="N10" s="21">
        <v>6.8250000000000011</v>
      </c>
      <c r="O10" s="21">
        <v>12.675000000000001</v>
      </c>
    </row>
    <row r="11" spans="1:17" x14ac:dyDescent="0.25">
      <c r="A11" s="35">
        <v>43465</v>
      </c>
      <c r="B11" s="16">
        <v>8</v>
      </c>
      <c r="C11" s="16" t="s">
        <v>4</v>
      </c>
      <c r="D11" s="21">
        <v>57</v>
      </c>
      <c r="E11" s="21">
        <v>11.4</v>
      </c>
      <c r="F11" s="21">
        <v>31.35</v>
      </c>
      <c r="G11" s="21">
        <v>14.25</v>
      </c>
      <c r="H11" s="21">
        <v>85.5</v>
      </c>
      <c r="I11" s="21">
        <v>17.099999999999998</v>
      </c>
      <c r="J11" s="21">
        <v>8.5499999999999989</v>
      </c>
      <c r="K11" s="21">
        <v>47.025000000000006</v>
      </c>
      <c r="L11" s="21">
        <v>8.5500000000000007</v>
      </c>
      <c r="M11" s="21">
        <v>12.824999999999999</v>
      </c>
      <c r="N11" s="21">
        <v>5.9850000000000003</v>
      </c>
      <c r="O11" s="21">
        <v>11.115</v>
      </c>
    </row>
    <row r="12" spans="1:17" x14ac:dyDescent="0.25">
      <c r="A12" s="35">
        <v>43467</v>
      </c>
      <c r="B12" s="16">
        <v>7</v>
      </c>
      <c r="C12" s="16" t="s">
        <v>69</v>
      </c>
      <c r="D12" s="21">
        <v>54</v>
      </c>
      <c r="E12" s="21">
        <v>10.8</v>
      </c>
      <c r="F12" s="21">
        <v>29.700000000000003</v>
      </c>
      <c r="G12" s="21">
        <v>13.5</v>
      </c>
      <c r="H12" s="21">
        <v>81</v>
      </c>
      <c r="I12" s="21">
        <v>16.2</v>
      </c>
      <c r="J12" s="21">
        <v>8.1</v>
      </c>
      <c r="K12" s="21">
        <v>44.550000000000004</v>
      </c>
      <c r="L12" s="21">
        <v>8.1</v>
      </c>
      <c r="M12" s="21">
        <v>12.15</v>
      </c>
      <c r="N12" s="21">
        <v>5.6700000000000008</v>
      </c>
      <c r="O12" s="21">
        <v>10.530000000000001</v>
      </c>
    </row>
    <row r="13" spans="1:17" x14ac:dyDescent="0.25">
      <c r="A13" s="35">
        <v>43467</v>
      </c>
      <c r="B13" s="16">
        <v>10</v>
      </c>
      <c r="C13" s="16" t="s">
        <v>5</v>
      </c>
      <c r="D13" s="21">
        <v>32</v>
      </c>
      <c r="E13" s="21">
        <v>6.4</v>
      </c>
      <c r="F13" s="21">
        <v>17.600000000000001</v>
      </c>
      <c r="G13" s="21">
        <v>8</v>
      </c>
      <c r="H13" s="21">
        <v>48</v>
      </c>
      <c r="I13" s="21">
        <v>9.6</v>
      </c>
      <c r="J13" s="21">
        <v>4.8</v>
      </c>
      <c r="K13" s="21">
        <v>26.400000000000002</v>
      </c>
      <c r="L13" s="21">
        <v>4.8000000000000007</v>
      </c>
      <c r="M13" s="21">
        <v>7.1999999999999993</v>
      </c>
      <c r="N13" s="21">
        <v>3.3600000000000003</v>
      </c>
      <c r="O13" s="21">
        <v>6.24</v>
      </c>
    </row>
    <row r="14" spans="1:17" x14ac:dyDescent="0.25">
      <c r="A14" s="35">
        <v>43467</v>
      </c>
      <c r="B14" s="16">
        <v>21</v>
      </c>
      <c r="C14" s="16" t="s">
        <v>81</v>
      </c>
      <c r="D14" s="21">
        <v>12</v>
      </c>
      <c r="E14" s="21">
        <v>2.4000000000000004</v>
      </c>
      <c r="F14" s="21">
        <v>6.6000000000000005</v>
      </c>
      <c r="G14" s="21">
        <v>3</v>
      </c>
      <c r="H14" s="21">
        <v>18</v>
      </c>
      <c r="I14" s="21">
        <v>3.5999999999999996</v>
      </c>
      <c r="J14" s="21">
        <v>1.7999999999999998</v>
      </c>
      <c r="K14" s="21">
        <v>9.9</v>
      </c>
      <c r="L14" s="21">
        <v>1.8</v>
      </c>
      <c r="M14" s="21">
        <v>2.6999999999999997</v>
      </c>
      <c r="N14" s="21">
        <v>1.2600000000000002</v>
      </c>
      <c r="O14" s="21">
        <v>2.34</v>
      </c>
    </row>
    <row r="15" spans="1:17" x14ac:dyDescent="0.25">
      <c r="A15" s="35">
        <v>43467</v>
      </c>
      <c r="B15" s="16">
        <v>14</v>
      </c>
      <c r="C15" s="16" t="s">
        <v>74</v>
      </c>
      <c r="D15" s="21">
        <v>78</v>
      </c>
      <c r="E15" s="21">
        <v>15.600000000000001</v>
      </c>
      <c r="F15" s="21">
        <v>42.900000000000006</v>
      </c>
      <c r="G15" s="21">
        <v>19.5</v>
      </c>
      <c r="H15" s="21">
        <v>117</v>
      </c>
      <c r="I15" s="21">
        <v>23.4</v>
      </c>
      <c r="J15" s="21">
        <v>11.7</v>
      </c>
      <c r="K15" s="21">
        <v>64.350000000000009</v>
      </c>
      <c r="L15" s="21">
        <v>11.700000000000001</v>
      </c>
      <c r="M15" s="21">
        <v>17.55</v>
      </c>
      <c r="N15" s="21">
        <v>8.1900000000000013</v>
      </c>
      <c r="O15" s="21">
        <v>15.21</v>
      </c>
    </row>
    <row r="16" spans="1:17" x14ac:dyDescent="0.25">
      <c r="A16" s="35">
        <v>43467</v>
      </c>
      <c r="B16" s="16">
        <v>5</v>
      </c>
      <c r="C16" s="16" t="s">
        <v>6</v>
      </c>
      <c r="D16" s="21">
        <v>80</v>
      </c>
      <c r="E16" s="21">
        <v>16</v>
      </c>
      <c r="F16" s="21">
        <v>44</v>
      </c>
      <c r="G16" s="21">
        <v>20</v>
      </c>
      <c r="H16" s="21">
        <v>120</v>
      </c>
      <c r="I16" s="21">
        <v>24</v>
      </c>
      <c r="J16" s="21">
        <v>12</v>
      </c>
      <c r="K16" s="21">
        <v>66</v>
      </c>
      <c r="L16" s="21">
        <v>12</v>
      </c>
      <c r="M16" s="21">
        <v>18</v>
      </c>
      <c r="N16" s="21">
        <v>8.4</v>
      </c>
      <c r="O16" s="21">
        <v>15.600000000000001</v>
      </c>
    </row>
    <row r="17" spans="1:15" x14ac:dyDescent="0.25">
      <c r="A17" s="35">
        <v>43467</v>
      </c>
      <c r="B17" s="16">
        <v>12</v>
      </c>
      <c r="C17" s="16" t="s">
        <v>72</v>
      </c>
      <c r="D17" s="21">
        <v>55</v>
      </c>
      <c r="E17" s="21">
        <v>11</v>
      </c>
      <c r="F17" s="21">
        <v>30.250000000000004</v>
      </c>
      <c r="G17" s="21">
        <v>13.75</v>
      </c>
      <c r="H17" s="21">
        <v>82.5</v>
      </c>
      <c r="I17" s="21">
        <v>16.5</v>
      </c>
      <c r="J17" s="21">
        <v>8.25</v>
      </c>
      <c r="K17" s="21">
        <v>45.375000000000007</v>
      </c>
      <c r="L17" s="21">
        <v>8.25</v>
      </c>
      <c r="M17" s="21">
        <v>12.375</v>
      </c>
      <c r="N17" s="21">
        <v>5.7750000000000004</v>
      </c>
      <c r="O17" s="21">
        <v>10.725</v>
      </c>
    </row>
    <row r="18" spans="1:15" x14ac:dyDescent="0.25">
      <c r="A18" s="35">
        <v>43467</v>
      </c>
      <c r="B18" s="16">
        <v>19</v>
      </c>
      <c r="C18" s="16" t="s">
        <v>79</v>
      </c>
      <c r="D18" s="21">
        <v>65</v>
      </c>
      <c r="E18" s="21">
        <v>13</v>
      </c>
      <c r="F18" s="21">
        <v>35.75</v>
      </c>
      <c r="G18" s="21">
        <v>16.25</v>
      </c>
      <c r="H18" s="21">
        <v>97.5</v>
      </c>
      <c r="I18" s="21">
        <v>19.5</v>
      </c>
      <c r="J18" s="21">
        <v>9.75</v>
      </c>
      <c r="K18" s="21">
        <v>53.625000000000007</v>
      </c>
      <c r="L18" s="21">
        <v>9.75</v>
      </c>
      <c r="M18" s="21">
        <v>14.625</v>
      </c>
      <c r="N18" s="21">
        <v>6.8250000000000011</v>
      </c>
      <c r="O18" s="21">
        <v>12.675000000000001</v>
      </c>
    </row>
    <row r="19" spans="1:15" x14ac:dyDescent="0.25">
      <c r="A19" s="35">
        <v>43467</v>
      </c>
      <c r="B19" s="16">
        <v>17</v>
      </c>
      <c r="C19" s="16" t="s">
        <v>77</v>
      </c>
      <c r="D19" s="21">
        <v>45</v>
      </c>
      <c r="E19" s="21">
        <v>9</v>
      </c>
      <c r="F19" s="21">
        <v>24.750000000000004</v>
      </c>
      <c r="G19" s="21">
        <v>11.25</v>
      </c>
      <c r="H19" s="21">
        <v>67.5</v>
      </c>
      <c r="I19" s="21">
        <v>13.5</v>
      </c>
      <c r="J19" s="21">
        <v>6.75</v>
      </c>
      <c r="K19" s="21">
        <v>37.125</v>
      </c>
      <c r="L19" s="21">
        <v>6.75</v>
      </c>
      <c r="M19" s="21">
        <v>10.125</v>
      </c>
      <c r="N19" s="21">
        <v>4.7250000000000005</v>
      </c>
      <c r="O19" s="21">
        <v>8.7750000000000004</v>
      </c>
    </row>
    <row r="20" spans="1:15" x14ac:dyDescent="0.25">
      <c r="A20" s="35">
        <v>43467</v>
      </c>
      <c r="B20" s="16">
        <v>13</v>
      </c>
      <c r="C20" s="16" t="s">
        <v>73</v>
      </c>
      <c r="D20" s="21">
        <v>32</v>
      </c>
      <c r="E20" s="21">
        <v>6.4</v>
      </c>
      <c r="F20" s="21">
        <v>17.600000000000001</v>
      </c>
      <c r="G20" s="21">
        <v>8</v>
      </c>
      <c r="H20" s="21">
        <v>48</v>
      </c>
      <c r="I20" s="21">
        <v>9.6</v>
      </c>
      <c r="J20" s="21">
        <v>4.8</v>
      </c>
      <c r="K20" s="21">
        <v>26.400000000000002</v>
      </c>
      <c r="L20" s="21">
        <v>4.8000000000000007</v>
      </c>
      <c r="M20" s="21">
        <v>7.1999999999999993</v>
      </c>
      <c r="N20" s="21">
        <v>3.3600000000000003</v>
      </c>
      <c r="O20" s="21">
        <v>6.24</v>
      </c>
    </row>
    <row r="21" spans="1:15" x14ac:dyDescent="0.25">
      <c r="A21" s="35">
        <v>43467</v>
      </c>
      <c r="B21" s="16">
        <v>20</v>
      </c>
      <c r="C21" s="16" t="s">
        <v>80</v>
      </c>
      <c r="D21" s="21">
        <v>12</v>
      </c>
      <c r="E21" s="21">
        <v>2.4000000000000004</v>
      </c>
      <c r="F21" s="21">
        <v>6.6000000000000005</v>
      </c>
      <c r="G21" s="21">
        <v>3</v>
      </c>
      <c r="H21" s="21">
        <v>18</v>
      </c>
      <c r="I21" s="21">
        <v>3.5999999999999996</v>
      </c>
      <c r="J21" s="21">
        <v>1.7999999999999998</v>
      </c>
      <c r="K21" s="21">
        <v>9.9</v>
      </c>
      <c r="L21" s="21">
        <v>1.8</v>
      </c>
      <c r="M21" s="21">
        <v>2.6999999999999997</v>
      </c>
      <c r="N21" s="21">
        <v>1.2600000000000002</v>
      </c>
      <c r="O21" s="21">
        <v>2.34</v>
      </c>
    </row>
    <row r="22" spans="1:15" x14ac:dyDescent="0.25">
      <c r="A22" s="35">
        <v>43468</v>
      </c>
      <c r="B22" s="16">
        <v>11</v>
      </c>
      <c r="C22" s="16" t="s">
        <v>71</v>
      </c>
      <c r="D22" s="21">
        <v>45</v>
      </c>
      <c r="E22" s="21">
        <v>9</v>
      </c>
      <c r="F22" s="21">
        <v>24.750000000000004</v>
      </c>
      <c r="G22" s="21">
        <v>11.25</v>
      </c>
      <c r="H22" s="21">
        <v>67.5</v>
      </c>
      <c r="I22" s="21">
        <v>13.5</v>
      </c>
      <c r="J22" s="21">
        <v>6.75</v>
      </c>
      <c r="K22" s="21">
        <v>37.125</v>
      </c>
      <c r="L22" s="21">
        <v>6.75</v>
      </c>
      <c r="M22" s="21">
        <v>10.125</v>
      </c>
      <c r="N22" s="21">
        <v>4.7250000000000005</v>
      </c>
      <c r="O22" s="21">
        <v>8.7750000000000004</v>
      </c>
    </row>
    <row r="23" spans="1:15" x14ac:dyDescent="0.25">
      <c r="A23" s="35">
        <v>43468</v>
      </c>
      <c r="B23" s="16">
        <v>11</v>
      </c>
      <c r="C23" s="16" t="s">
        <v>71</v>
      </c>
      <c r="D23" s="21">
        <v>45</v>
      </c>
      <c r="E23" s="21">
        <v>9</v>
      </c>
      <c r="F23" s="21">
        <v>24.750000000000004</v>
      </c>
      <c r="G23" s="21">
        <v>11.25</v>
      </c>
      <c r="H23" s="21">
        <v>67.5</v>
      </c>
      <c r="I23" s="21">
        <v>13.5</v>
      </c>
      <c r="J23" s="21">
        <v>6.75</v>
      </c>
      <c r="K23" s="21">
        <v>37.125</v>
      </c>
      <c r="L23" s="21">
        <v>6.75</v>
      </c>
      <c r="M23" s="21">
        <v>10.125</v>
      </c>
      <c r="N23" s="21">
        <v>4.7250000000000005</v>
      </c>
      <c r="O23" s="21">
        <v>8.7750000000000004</v>
      </c>
    </row>
    <row r="24" spans="1:15" x14ac:dyDescent="0.25">
      <c r="A24" s="35">
        <v>43468</v>
      </c>
      <c r="B24" s="16">
        <v>4</v>
      </c>
      <c r="C24" s="16" t="s">
        <v>67</v>
      </c>
      <c r="D24" s="21">
        <v>20</v>
      </c>
      <c r="E24" s="21">
        <v>4</v>
      </c>
      <c r="F24" s="21">
        <v>11</v>
      </c>
      <c r="G24" s="21">
        <v>5</v>
      </c>
      <c r="H24" s="21">
        <v>30</v>
      </c>
      <c r="I24" s="21">
        <v>6</v>
      </c>
      <c r="J24" s="21">
        <v>3</v>
      </c>
      <c r="K24" s="21">
        <v>16.5</v>
      </c>
      <c r="L24" s="21">
        <v>3</v>
      </c>
      <c r="M24" s="21">
        <v>4.5</v>
      </c>
      <c r="N24" s="21">
        <v>2.1</v>
      </c>
      <c r="O24" s="21">
        <v>3.9000000000000004</v>
      </c>
    </row>
    <row r="25" spans="1:15" x14ac:dyDescent="0.25">
      <c r="A25" s="35">
        <v>43468</v>
      </c>
      <c r="B25" s="16">
        <v>16</v>
      </c>
      <c r="C25" s="16" t="s">
        <v>76</v>
      </c>
      <c r="D25" s="21">
        <v>60</v>
      </c>
      <c r="E25" s="21">
        <v>12</v>
      </c>
      <c r="F25" s="21">
        <v>33</v>
      </c>
      <c r="G25" s="21">
        <v>15</v>
      </c>
      <c r="H25" s="21">
        <v>90</v>
      </c>
      <c r="I25" s="21">
        <v>18</v>
      </c>
      <c r="J25" s="21">
        <v>9</v>
      </c>
      <c r="K25" s="21">
        <v>49.500000000000007</v>
      </c>
      <c r="L25" s="21">
        <v>9</v>
      </c>
      <c r="M25" s="21">
        <v>13.5</v>
      </c>
      <c r="N25" s="21">
        <v>6.3000000000000007</v>
      </c>
      <c r="O25" s="21">
        <v>11.700000000000001</v>
      </c>
    </row>
    <row r="26" spans="1:15" x14ac:dyDescent="0.25">
      <c r="A26" s="35">
        <v>43468</v>
      </c>
      <c r="B26" s="16">
        <v>3</v>
      </c>
      <c r="C26" s="16" t="s">
        <v>66</v>
      </c>
      <c r="D26" s="21">
        <v>15</v>
      </c>
      <c r="E26" s="21">
        <v>3</v>
      </c>
      <c r="F26" s="21">
        <v>8.25</v>
      </c>
      <c r="G26" s="21">
        <v>3.75</v>
      </c>
      <c r="H26" s="21">
        <v>22.5</v>
      </c>
      <c r="I26" s="21">
        <v>4.5</v>
      </c>
      <c r="J26" s="21">
        <v>2.25</v>
      </c>
      <c r="K26" s="21">
        <v>12.375000000000002</v>
      </c>
      <c r="L26" s="21">
        <v>2.25</v>
      </c>
      <c r="M26" s="21">
        <v>3.375</v>
      </c>
      <c r="N26" s="21">
        <v>1.5750000000000002</v>
      </c>
      <c r="O26" s="21">
        <v>2.9250000000000003</v>
      </c>
    </row>
    <row r="27" spans="1:15" x14ac:dyDescent="0.25">
      <c r="A27" s="35">
        <v>43468</v>
      </c>
      <c r="B27" s="16">
        <v>2</v>
      </c>
      <c r="C27" s="16" t="s">
        <v>65</v>
      </c>
      <c r="D27" s="21">
        <v>60</v>
      </c>
      <c r="E27" s="21">
        <v>12</v>
      </c>
      <c r="F27" s="21">
        <v>33</v>
      </c>
      <c r="G27" s="21">
        <v>15</v>
      </c>
      <c r="H27" s="21">
        <v>90</v>
      </c>
      <c r="I27" s="21">
        <v>18</v>
      </c>
      <c r="J27" s="21">
        <v>9</v>
      </c>
      <c r="K27" s="21">
        <v>49.500000000000007</v>
      </c>
      <c r="L27" s="21">
        <v>9</v>
      </c>
      <c r="M27" s="21">
        <v>13.5</v>
      </c>
      <c r="N27" s="21">
        <v>6.3000000000000007</v>
      </c>
      <c r="O27" s="21">
        <v>11.700000000000001</v>
      </c>
    </row>
    <row r="28" spans="1:15" x14ac:dyDescent="0.25">
      <c r="A28" s="35">
        <v>43468</v>
      </c>
      <c r="B28" s="16">
        <v>1</v>
      </c>
      <c r="C28" s="16" t="s">
        <v>3</v>
      </c>
      <c r="D28" s="21">
        <v>40</v>
      </c>
      <c r="E28" s="21">
        <v>8</v>
      </c>
      <c r="F28" s="21">
        <v>22</v>
      </c>
      <c r="G28" s="21">
        <v>10</v>
      </c>
      <c r="H28" s="21">
        <v>60</v>
      </c>
      <c r="I28" s="21">
        <v>12</v>
      </c>
      <c r="J28" s="21">
        <v>6</v>
      </c>
      <c r="K28" s="21">
        <v>33</v>
      </c>
      <c r="L28" s="21">
        <v>6</v>
      </c>
      <c r="M28" s="21">
        <v>9</v>
      </c>
      <c r="N28" s="21">
        <v>4.2</v>
      </c>
      <c r="O28" s="21">
        <v>7.8000000000000007</v>
      </c>
    </row>
    <row r="29" spans="1:15" x14ac:dyDescent="0.25">
      <c r="A29" s="35">
        <v>43468</v>
      </c>
      <c r="B29" s="16">
        <v>18</v>
      </c>
      <c r="C29" s="16" t="s">
        <v>78</v>
      </c>
      <c r="D29" s="21">
        <v>50</v>
      </c>
      <c r="E29" s="21">
        <v>10</v>
      </c>
      <c r="F29" s="21">
        <v>27.500000000000004</v>
      </c>
      <c r="G29" s="21">
        <v>12.5</v>
      </c>
      <c r="H29" s="21">
        <v>75</v>
      </c>
      <c r="I29" s="21">
        <v>15</v>
      </c>
      <c r="J29" s="21">
        <v>7.5</v>
      </c>
      <c r="K29" s="21">
        <v>41.25</v>
      </c>
      <c r="L29" s="21">
        <v>7.5</v>
      </c>
      <c r="M29" s="21">
        <v>11.25</v>
      </c>
      <c r="N29" s="21">
        <v>5.2500000000000009</v>
      </c>
      <c r="O29" s="21">
        <v>9.75</v>
      </c>
    </row>
    <row r="30" spans="1:15" x14ac:dyDescent="0.25">
      <c r="A30" s="35">
        <v>43468</v>
      </c>
      <c r="B30" s="16">
        <v>9</v>
      </c>
      <c r="C30" s="16" t="s">
        <v>70</v>
      </c>
      <c r="D30" s="21">
        <v>22</v>
      </c>
      <c r="E30" s="21">
        <v>4.4000000000000004</v>
      </c>
      <c r="F30" s="21">
        <v>12.100000000000001</v>
      </c>
      <c r="G30" s="21">
        <v>5.5</v>
      </c>
      <c r="H30" s="21">
        <v>33</v>
      </c>
      <c r="I30" s="21">
        <v>6.6</v>
      </c>
      <c r="J30" s="21">
        <v>3.3</v>
      </c>
      <c r="K30" s="21">
        <v>18.150000000000002</v>
      </c>
      <c r="L30" s="21">
        <v>3.3000000000000003</v>
      </c>
      <c r="M30" s="21">
        <v>4.95</v>
      </c>
      <c r="N30" s="21">
        <v>2.31</v>
      </c>
      <c r="O30" s="21">
        <v>4.29</v>
      </c>
    </row>
    <row r="31" spans="1:15" x14ac:dyDescent="0.25">
      <c r="A31" s="35">
        <v>43469</v>
      </c>
      <c r="B31" s="16">
        <v>6</v>
      </c>
      <c r="C31" s="16" t="s">
        <v>68</v>
      </c>
      <c r="D31" s="21">
        <v>35</v>
      </c>
      <c r="E31" s="21">
        <v>7</v>
      </c>
      <c r="F31" s="21">
        <v>19.25</v>
      </c>
      <c r="G31" s="21">
        <v>8.75</v>
      </c>
      <c r="H31" s="21">
        <v>52.5</v>
      </c>
      <c r="I31" s="21">
        <v>10.5</v>
      </c>
      <c r="J31" s="21">
        <v>5.25</v>
      </c>
      <c r="K31" s="21">
        <v>28.875000000000004</v>
      </c>
      <c r="L31" s="21">
        <v>5.25</v>
      </c>
      <c r="M31" s="21">
        <v>7.875</v>
      </c>
      <c r="N31" s="21">
        <v>3.6750000000000003</v>
      </c>
      <c r="O31" s="21">
        <v>6.8250000000000002</v>
      </c>
    </row>
    <row r="32" spans="1:15" x14ac:dyDescent="0.25">
      <c r="A32" s="35">
        <v>43469</v>
      </c>
      <c r="B32" s="16">
        <v>15</v>
      </c>
      <c r="C32" s="16" t="s">
        <v>75</v>
      </c>
      <c r="D32" s="21">
        <v>54</v>
      </c>
      <c r="E32" s="21">
        <v>10.8</v>
      </c>
      <c r="F32" s="21">
        <v>29.700000000000003</v>
      </c>
      <c r="G32" s="21">
        <v>13.5</v>
      </c>
      <c r="H32" s="21">
        <v>81</v>
      </c>
      <c r="I32" s="21">
        <v>16.2</v>
      </c>
      <c r="J32" s="21">
        <v>8.1</v>
      </c>
      <c r="K32" s="21">
        <v>44.550000000000004</v>
      </c>
      <c r="L32" s="21">
        <v>8.1</v>
      </c>
      <c r="M32" s="21">
        <v>12.15</v>
      </c>
      <c r="N32" s="21">
        <v>5.6700000000000008</v>
      </c>
      <c r="O32" s="21">
        <v>10.530000000000001</v>
      </c>
    </row>
    <row r="33" spans="1:15" x14ac:dyDescent="0.25">
      <c r="A33" s="35">
        <v>43468</v>
      </c>
      <c r="B33" s="16">
        <v>8</v>
      </c>
      <c r="C33" s="16" t="s">
        <v>4</v>
      </c>
      <c r="D33" s="21">
        <v>56</v>
      </c>
      <c r="E33" s="21">
        <v>11.200000000000001</v>
      </c>
      <c r="F33" s="21">
        <v>30.800000000000004</v>
      </c>
      <c r="G33" s="21">
        <v>14</v>
      </c>
      <c r="H33" s="21">
        <v>84</v>
      </c>
      <c r="I33" s="21">
        <v>16.8</v>
      </c>
      <c r="J33" s="21">
        <v>8.4</v>
      </c>
      <c r="K33" s="21">
        <v>46.2</v>
      </c>
      <c r="L33" s="21">
        <v>8.4</v>
      </c>
      <c r="M33" s="21">
        <v>12.6</v>
      </c>
      <c r="N33" s="21">
        <v>5.8800000000000008</v>
      </c>
      <c r="O33" s="21">
        <v>10.92</v>
      </c>
    </row>
    <row r="34" spans="1:15" x14ac:dyDescent="0.25">
      <c r="A34" s="35">
        <v>43469</v>
      </c>
      <c r="B34" s="16">
        <v>7</v>
      </c>
      <c r="C34" s="16" t="s">
        <v>69</v>
      </c>
      <c r="D34" s="21">
        <v>48</v>
      </c>
      <c r="E34" s="21">
        <v>9.6000000000000014</v>
      </c>
      <c r="F34" s="21">
        <v>26.400000000000002</v>
      </c>
      <c r="G34" s="21">
        <v>12</v>
      </c>
      <c r="H34" s="21">
        <v>72</v>
      </c>
      <c r="I34" s="21">
        <v>14.399999999999999</v>
      </c>
      <c r="J34" s="21">
        <v>7.1999999999999993</v>
      </c>
      <c r="K34" s="21">
        <v>39.6</v>
      </c>
      <c r="L34" s="21">
        <v>7.2</v>
      </c>
      <c r="M34" s="21">
        <v>10.799999999999999</v>
      </c>
      <c r="N34" s="21">
        <v>5.0400000000000009</v>
      </c>
      <c r="O34" s="21">
        <v>9.36</v>
      </c>
    </row>
    <row r="35" spans="1:15" x14ac:dyDescent="0.25">
      <c r="A35" s="35">
        <v>43469</v>
      </c>
      <c r="B35" s="16">
        <v>4</v>
      </c>
      <c r="C35" s="16" t="s">
        <v>67</v>
      </c>
      <c r="D35" s="21">
        <v>45</v>
      </c>
      <c r="E35" s="21">
        <v>9</v>
      </c>
      <c r="F35" s="21">
        <v>24.750000000000004</v>
      </c>
      <c r="G35" s="21">
        <v>11.25</v>
      </c>
      <c r="H35" s="21">
        <v>67.5</v>
      </c>
      <c r="I35" s="21">
        <v>13.5</v>
      </c>
      <c r="J35" s="21">
        <v>6.75</v>
      </c>
      <c r="K35" s="21">
        <v>37.125</v>
      </c>
      <c r="L35" s="21">
        <v>6.75</v>
      </c>
      <c r="M35" s="21">
        <v>10.125</v>
      </c>
      <c r="N35" s="21">
        <v>4.7250000000000005</v>
      </c>
      <c r="O35" s="21">
        <v>8.7750000000000004</v>
      </c>
    </row>
    <row r="36" spans="1:15" x14ac:dyDescent="0.25">
      <c r="A36" s="35">
        <v>43469</v>
      </c>
      <c r="B36" s="16">
        <v>16</v>
      </c>
      <c r="C36" s="16" t="s">
        <v>76</v>
      </c>
      <c r="D36" s="21">
        <v>22</v>
      </c>
      <c r="E36" s="21">
        <v>4.4000000000000004</v>
      </c>
      <c r="F36" s="21">
        <v>12.100000000000001</v>
      </c>
      <c r="G36" s="21">
        <v>5.5</v>
      </c>
      <c r="H36" s="21">
        <v>33</v>
      </c>
      <c r="I36" s="21">
        <v>6.6</v>
      </c>
      <c r="J36" s="21">
        <v>3.3</v>
      </c>
      <c r="K36" s="21">
        <v>18.150000000000002</v>
      </c>
      <c r="L36" s="21">
        <v>3.3000000000000003</v>
      </c>
      <c r="M36" s="21">
        <v>4.95</v>
      </c>
      <c r="N36" s="21">
        <v>2.31</v>
      </c>
      <c r="O36" s="21">
        <v>4.29</v>
      </c>
    </row>
    <row r="37" spans="1:15" x14ac:dyDescent="0.25">
      <c r="A37" s="35">
        <v>43469</v>
      </c>
      <c r="B37" s="16">
        <v>3</v>
      </c>
      <c r="C37" s="16" t="s">
        <v>66</v>
      </c>
      <c r="D37" s="21">
        <v>33</v>
      </c>
      <c r="E37" s="21">
        <v>6.6000000000000005</v>
      </c>
      <c r="F37" s="21">
        <v>18.150000000000002</v>
      </c>
      <c r="G37" s="21">
        <v>8.25</v>
      </c>
      <c r="H37" s="21">
        <v>49.5</v>
      </c>
      <c r="I37" s="21">
        <v>9.9</v>
      </c>
      <c r="J37" s="21">
        <v>4.95</v>
      </c>
      <c r="K37" s="21">
        <v>27.225000000000001</v>
      </c>
      <c r="L37" s="21">
        <v>4.95</v>
      </c>
      <c r="M37" s="21">
        <v>7.4249999999999998</v>
      </c>
      <c r="N37" s="21">
        <v>3.4650000000000003</v>
      </c>
      <c r="O37" s="21">
        <v>6.4350000000000005</v>
      </c>
    </row>
    <row r="38" spans="1:15" x14ac:dyDescent="0.25">
      <c r="A38" s="35">
        <v>43469</v>
      </c>
      <c r="B38" s="16">
        <v>2</v>
      </c>
      <c r="C38" s="16" t="s">
        <v>65</v>
      </c>
      <c r="D38" s="21">
        <v>34</v>
      </c>
      <c r="E38" s="21">
        <v>6.8000000000000007</v>
      </c>
      <c r="F38" s="21">
        <v>18.700000000000003</v>
      </c>
      <c r="G38" s="21">
        <v>8.5</v>
      </c>
      <c r="H38" s="21">
        <v>51</v>
      </c>
      <c r="I38" s="21">
        <v>10.199999999999999</v>
      </c>
      <c r="J38" s="21">
        <v>5.0999999999999996</v>
      </c>
      <c r="K38" s="21">
        <v>28.05</v>
      </c>
      <c r="L38" s="21">
        <v>5.1000000000000005</v>
      </c>
      <c r="M38" s="21">
        <v>7.6499999999999995</v>
      </c>
      <c r="N38" s="21">
        <v>3.5700000000000003</v>
      </c>
      <c r="O38" s="21">
        <v>6.63</v>
      </c>
    </row>
    <row r="39" spans="1:15" x14ac:dyDescent="0.25">
      <c r="A39" s="35">
        <v>43469</v>
      </c>
      <c r="B39" s="16">
        <v>1</v>
      </c>
      <c r="C39" s="16" t="s">
        <v>3</v>
      </c>
      <c r="D39" s="21">
        <v>635</v>
      </c>
      <c r="E39" s="21">
        <v>127</v>
      </c>
      <c r="F39" s="21">
        <v>349.25</v>
      </c>
      <c r="G39" s="21">
        <v>158.75</v>
      </c>
      <c r="H39" s="21">
        <v>952.5</v>
      </c>
      <c r="I39" s="21">
        <v>190.5</v>
      </c>
      <c r="J39" s="21">
        <v>95.25</v>
      </c>
      <c r="K39" s="21">
        <v>523.875</v>
      </c>
      <c r="L39" s="21">
        <v>95.25</v>
      </c>
      <c r="M39" s="21">
        <v>142.875</v>
      </c>
      <c r="N39" s="21">
        <v>66.675000000000011</v>
      </c>
      <c r="O39" s="21">
        <v>123.825</v>
      </c>
    </row>
    <row r="40" spans="1:15" x14ac:dyDescent="0.25">
      <c r="A40" s="35">
        <v>43469</v>
      </c>
      <c r="B40" s="16">
        <v>18</v>
      </c>
      <c r="C40" s="16" t="s">
        <v>78</v>
      </c>
      <c r="D40" s="21">
        <v>56</v>
      </c>
      <c r="E40" s="21">
        <v>11.200000000000001</v>
      </c>
      <c r="F40" s="21">
        <v>30.800000000000004</v>
      </c>
      <c r="G40" s="21">
        <v>14</v>
      </c>
      <c r="H40" s="21">
        <v>84</v>
      </c>
      <c r="I40" s="21">
        <v>16.8</v>
      </c>
      <c r="J40" s="21">
        <v>8.4</v>
      </c>
      <c r="K40" s="21">
        <v>46.2</v>
      </c>
      <c r="L40" s="21">
        <v>8.4</v>
      </c>
      <c r="M40" s="21">
        <v>12.6</v>
      </c>
      <c r="N40" s="21">
        <v>5.8800000000000008</v>
      </c>
      <c r="O40" s="21">
        <v>10.92</v>
      </c>
    </row>
    <row r="41" spans="1:15" x14ac:dyDescent="0.25">
      <c r="A41" s="35">
        <v>43469</v>
      </c>
      <c r="B41" s="16">
        <v>9</v>
      </c>
      <c r="C41" s="16" t="s">
        <v>70</v>
      </c>
      <c r="D41" s="21">
        <v>45</v>
      </c>
      <c r="E41" s="21">
        <v>9</v>
      </c>
      <c r="F41" s="21">
        <v>24.750000000000004</v>
      </c>
      <c r="G41" s="21">
        <v>11.25</v>
      </c>
      <c r="H41" s="21">
        <v>67.5</v>
      </c>
      <c r="I41" s="21">
        <v>13.5</v>
      </c>
      <c r="J41" s="21">
        <v>6.75</v>
      </c>
      <c r="K41" s="21">
        <v>37.125</v>
      </c>
      <c r="L41" s="21">
        <v>6.75</v>
      </c>
      <c r="M41" s="21">
        <v>10.125</v>
      </c>
      <c r="N41" s="21">
        <v>4.7250000000000005</v>
      </c>
      <c r="O41" s="21">
        <v>8.7750000000000004</v>
      </c>
    </row>
    <row r="42" spans="1:15" x14ac:dyDescent="0.25">
      <c r="A42" s="35">
        <v>43470</v>
      </c>
      <c r="B42" s="16">
        <v>6</v>
      </c>
      <c r="C42" s="16" t="s">
        <v>68</v>
      </c>
      <c r="D42" s="21">
        <v>65</v>
      </c>
      <c r="E42" s="21">
        <v>13</v>
      </c>
      <c r="F42" s="21">
        <v>35.75</v>
      </c>
      <c r="G42" s="21">
        <v>16.25</v>
      </c>
      <c r="H42" s="21">
        <v>97.5</v>
      </c>
      <c r="I42" s="21">
        <v>19.5</v>
      </c>
      <c r="J42" s="21">
        <v>9.75</v>
      </c>
      <c r="K42" s="21">
        <v>53.625000000000007</v>
      </c>
      <c r="L42" s="21">
        <v>9.75</v>
      </c>
      <c r="M42" s="21">
        <v>14.625</v>
      </c>
      <c r="N42" s="21">
        <v>6.8250000000000011</v>
      </c>
      <c r="O42" s="21">
        <v>12.675000000000001</v>
      </c>
    </row>
    <row r="43" spans="1:15" x14ac:dyDescent="0.25">
      <c r="A43" s="35">
        <v>43470</v>
      </c>
      <c r="B43" s="16">
        <v>15</v>
      </c>
      <c r="C43" s="16" t="s">
        <v>75</v>
      </c>
      <c r="D43" s="21">
        <v>23</v>
      </c>
      <c r="E43" s="21">
        <v>4.6000000000000005</v>
      </c>
      <c r="F43" s="21">
        <v>12.65</v>
      </c>
      <c r="G43" s="21">
        <v>5.75</v>
      </c>
      <c r="H43" s="21">
        <v>34.5</v>
      </c>
      <c r="I43" s="21">
        <v>6.8999999999999995</v>
      </c>
      <c r="J43" s="21">
        <v>3.4499999999999997</v>
      </c>
      <c r="K43" s="21">
        <v>18.975000000000001</v>
      </c>
      <c r="L43" s="21">
        <v>3.45</v>
      </c>
      <c r="M43" s="21">
        <v>5.1749999999999998</v>
      </c>
      <c r="N43" s="21">
        <v>2.415</v>
      </c>
      <c r="O43" s="21">
        <v>4.4850000000000003</v>
      </c>
    </row>
    <row r="44" spans="1:15" x14ac:dyDescent="0.25">
      <c r="A44" s="35">
        <v>43470</v>
      </c>
      <c r="B44" s="16">
        <v>8</v>
      </c>
      <c r="C44" s="16" t="s">
        <v>4</v>
      </c>
      <c r="D44" s="21">
        <v>65</v>
      </c>
      <c r="E44" s="21">
        <v>13</v>
      </c>
      <c r="F44" s="21">
        <v>35.75</v>
      </c>
      <c r="G44" s="21">
        <v>16.25</v>
      </c>
      <c r="H44" s="21">
        <v>97.5</v>
      </c>
      <c r="I44" s="21">
        <v>19.5</v>
      </c>
      <c r="J44" s="21">
        <v>9.75</v>
      </c>
      <c r="K44" s="21">
        <v>53.625000000000007</v>
      </c>
      <c r="L44" s="21">
        <v>9.75</v>
      </c>
      <c r="M44" s="21">
        <v>14.625</v>
      </c>
      <c r="N44" s="21">
        <v>6.8250000000000011</v>
      </c>
      <c r="O44" s="21">
        <v>12.675000000000001</v>
      </c>
    </row>
    <row r="45" spans="1:15" x14ac:dyDescent="0.25">
      <c r="A45" s="35">
        <v>43472</v>
      </c>
      <c r="B45" s="16">
        <v>7</v>
      </c>
      <c r="C45" s="16" t="s">
        <v>69</v>
      </c>
      <c r="D45" s="21">
        <v>60</v>
      </c>
      <c r="E45" s="21">
        <v>12</v>
      </c>
      <c r="F45" s="21">
        <v>33</v>
      </c>
      <c r="G45" s="21">
        <v>15</v>
      </c>
      <c r="H45" s="21">
        <v>90</v>
      </c>
      <c r="I45" s="21">
        <v>18</v>
      </c>
      <c r="J45" s="21">
        <v>9</v>
      </c>
      <c r="K45" s="21">
        <v>49.500000000000007</v>
      </c>
      <c r="L45" s="21">
        <v>9</v>
      </c>
      <c r="M45" s="21">
        <v>13.5</v>
      </c>
      <c r="N45" s="21">
        <v>6.3000000000000007</v>
      </c>
      <c r="O45" s="21">
        <v>11.700000000000001</v>
      </c>
    </row>
    <row r="46" spans="1:15" x14ac:dyDescent="0.25">
      <c r="A46" s="35">
        <v>43472</v>
      </c>
      <c r="B46" s="16">
        <v>4</v>
      </c>
      <c r="C46" s="16" t="s">
        <v>67</v>
      </c>
      <c r="D46" s="21">
        <v>50</v>
      </c>
      <c r="E46" s="21">
        <v>10</v>
      </c>
      <c r="F46" s="21">
        <v>27.500000000000004</v>
      </c>
      <c r="G46" s="21">
        <v>12.5</v>
      </c>
      <c r="H46" s="21">
        <v>75</v>
      </c>
      <c r="I46" s="21">
        <v>15</v>
      </c>
      <c r="J46" s="21">
        <v>7.5</v>
      </c>
      <c r="K46" s="21">
        <v>41.25</v>
      </c>
      <c r="L46" s="21">
        <v>7.5</v>
      </c>
      <c r="M46" s="21">
        <v>11.25</v>
      </c>
      <c r="N46" s="21">
        <v>5.2500000000000009</v>
      </c>
      <c r="O46" s="21">
        <v>9.75</v>
      </c>
    </row>
    <row r="47" spans="1:15" x14ac:dyDescent="0.25">
      <c r="A47" s="35">
        <v>43472</v>
      </c>
      <c r="B47" s="16">
        <v>16</v>
      </c>
      <c r="C47" s="16" t="s">
        <v>76</v>
      </c>
      <c r="D47" s="21">
        <v>40</v>
      </c>
      <c r="E47" s="21">
        <v>8</v>
      </c>
      <c r="F47" s="21">
        <v>22</v>
      </c>
      <c r="G47" s="21">
        <v>10</v>
      </c>
      <c r="H47" s="21">
        <v>60</v>
      </c>
      <c r="I47" s="21">
        <v>12</v>
      </c>
      <c r="J47" s="21">
        <v>6</v>
      </c>
      <c r="K47" s="21">
        <v>33</v>
      </c>
      <c r="L47" s="21">
        <v>6</v>
      </c>
      <c r="M47" s="21">
        <v>9</v>
      </c>
      <c r="N47" s="21">
        <v>4.2</v>
      </c>
      <c r="O47" s="21">
        <v>7.8000000000000007</v>
      </c>
    </row>
    <row r="48" spans="1:15" x14ac:dyDescent="0.25">
      <c r="A48" s="35">
        <v>43472</v>
      </c>
      <c r="B48" s="16">
        <v>3</v>
      </c>
      <c r="C48" s="16" t="s">
        <v>66</v>
      </c>
      <c r="D48" s="21">
        <v>60</v>
      </c>
      <c r="E48" s="21">
        <v>12</v>
      </c>
      <c r="F48" s="21">
        <v>33</v>
      </c>
      <c r="G48" s="21">
        <v>15</v>
      </c>
      <c r="H48" s="21">
        <v>90</v>
      </c>
      <c r="I48" s="21">
        <v>18</v>
      </c>
      <c r="J48" s="21">
        <v>9</v>
      </c>
      <c r="K48" s="21">
        <v>49.500000000000007</v>
      </c>
      <c r="L48" s="21">
        <v>9</v>
      </c>
      <c r="M48" s="21">
        <v>13.5</v>
      </c>
      <c r="N48" s="21">
        <v>6.3000000000000007</v>
      </c>
      <c r="O48" s="21">
        <v>11.700000000000001</v>
      </c>
    </row>
    <row r="49" spans="1:15" x14ac:dyDescent="0.25">
      <c r="A49" s="35">
        <v>43472</v>
      </c>
      <c r="B49" s="16">
        <v>2</v>
      </c>
      <c r="C49" s="16" t="s">
        <v>65</v>
      </c>
      <c r="D49" s="21">
        <v>30</v>
      </c>
      <c r="E49" s="21">
        <v>6</v>
      </c>
      <c r="F49" s="21">
        <v>16.5</v>
      </c>
      <c r="G49" s="21">
        <v>7.5</v>
      </c>
      <c r="H49" s="21">
        <v>45</v>
      </c>
      <c r="I49" s="21">
        <v>9</v>
      </c>
      <c r="J49" s="21">
        <v>4.5</v>
      </c>
      <c r="K49" s="21">
        <v>24.750000000000004</v>
      </c>
      <c r="L49" s="21">
        <v>4.5</v>
      </c>
      <c r="M49" s="21">
        <v>6.75</v>
      </c>
      <c r="N49" s="21">
        <v>3.1500000000000004</v>
      </c>
      <c r="O49" s="21">
        <v>5.8500000000000005</v>
      </c>
    </row>
    <row r="50" spans="1:15" x14ac:dyDescent="0.25">
      <c r="A50" s="35">
        <v>43470</v>
      </c>
      <c r="B50" s="16">
        <v>1</v>
      </c>
      <c r="C50" s="16" t="s">
        <v>3</v>
      </c>
      <c r="D50" s="21">
        <v>32</v>
      </c>
      <c r="E50" s="21">
        <v>6.4</v>
      </c>
      <c r="F50" s="21">
        <v>17.600000000000001</v>
      </c>
      <c r="G50" s="21">
        <v>8</v>
      </c>
      <c r="H50" s="21">
        <v>48</v>
      </c>
      <c r="I50" s="21">
        <v>9.6</v>
      </c>
      <c r="J50" s="21">
        <v>4.8</v>
      </c>
      <c r="K50" s="21">
        <v>26.400000000000002</v>
      </c>
      <c r="L50" s="21">
        <v>4.8000000000000007</v>
      </c>
      <c r="M50" s="21">
        <v>7.1999999999999993</v>
      </c>
      <c r="N50" s="21">
        <v>3.3600000000000003</v>
      </c>
      <c r="O50" s="21">
        <v>6.24</v>
      </c>
    </row>
    <row r="51" spans="1:15" x14ac:dyDescent="0.25">
      <c r="A51" s="35">
        <v>43472</v>
      </c>
      <c r="B51" s="16">
        <v>18</v>
      </c>
      <c r="C51" s="16" t="s">
        <v>78</v>
      </c>
      <c r="D51" s="21">
        <v>32</v>
      </c>
      <c r="E51" s="21">
        <v>6.4</v>
      </c>
      <c r="F51" s="21">
        <v>17.600000000000001</v>
      </c>
      <c r="G51" s="21">
        <v>8</v>
      </c>
      <c r="H51" s="21">
        <v>48</v>
      </c>
      <c r="I51" s="21">
        <v>9.6</v>
      </c>
      <c r="J51" s="21">
        <v>4.8</v>
      </c>
      <c r="K51" s="21">
        <v>26.400000000000002</v>
      </c>
      <c r="L51" s="21">
        <v>4.8000000000000007</v>
      </c>
      <c r="M51" s="21">
        <v>7.1999999999999993</v>
      </c>
      <c r="N51" s="21">
        <v>3.3600000000000003</v>
      </c>
      <c r="O51" s="21">
        <v>6.24</v>
      </c>
    </row>
    <row r="52" spans="1:15" x14ac:dyDescent="0.25">
      <c r="A52" s="35">
        <v>43472</v>
      </c>
      <c r="B52" s="16">
        <v>9</v>
      </c>
      <c r="C52" s="16" t="s">
        <v>70</v>
      </c>
      <c r="D52" s="21">
        <v>65</v>
      </c>
      <c r="E52" s="21">
        <v>13</v>
      </c>
      <c r="F52" s="21">
        <v>35.75</v>
      </c>
      <c r="G52" s="21">
        <v>16.25</v>
      </c>
      <c r="H52" s="21">
        <v>97.5</v>
      </c>
      <c r="I52" s="21">
        <v>19.5</v>
      </c>
      <c r="J52" s="21">
        <v>9.75</v>
      </c>
      <c r="K52" s="21">
        <v>53.625000000000007</v>
      </c>
      <c r="L52" s="21">
        <v>9.75</v>
      </c>
      <c r="M52" s="21">
        <v>14.625</v>
      </c>
      <c r="N52" s="21">
        <v>6.8250000000000011</v>
      </c>
      <c r="O52" s="21">
        <v>12.675000000000001</v>
      </c>
    </row>
    <row r="53" spans="1:15" x14ac:dyDescent="0.25">
      <c r="A53" s="35">
        <v>43473</v>
      </c>
      <c r="B53" s="16">
        <v>6</v>
      </c>
      <c r="C53" s="16" t="s">
        <v>68</v>
      </c>
      <c r="D53" s="21">
        <v>65</v>
      </c>
      <c r="E53" s="21">
        <v>13</v>
      </c>
      <c r="F53" s="21">
        <v>35.75</v>
      </c>
      <c r="G53" s="21">
        <v>16.25</v>
      </c>
      <c r="H53" s="21">
        <v>97.5</v>
      </c>
      <c r="I53" s="21">
        <v>19.5</v>
      </c>
      <c r="J53" s="21">
        <v>9.75</v>
      </c>
      <c r="K53" s="21">
        <v>53.625000000000007</v>
      </c>
      <c r="L53" s="21">
        <v>9.75</v>
      </c>
      <c r="M53" s="21">
        <v>14.625</v>
      </c>
      <c r="N53" s="21">
        <v>6.8250000000000011</v>
      </c>
      <c r="O53" s="21">
        <v>12.675000000000001</v>
      </c>
    </row>
    <row r="54" spans="1:15" x14ac:dyDescent="0.25">
      <c r="A54" s="35">
        <v>43474</v>
      </c>
      <c r="B54" s="16">
        <v>15</v>
      </c>
      <c r="C54" s="16" t="s">
        <v>75</v>
      </c>
      <c r="D54" s="21">
        <v>45</v>
      </c>
      <c r="E54" s="21">
        <v>9</v>
      </c>
      <c r="F54" s="21">
        <v>24.750000000000004</v>
      </c>
      <c r="G54" s="21">
        <v>11.25</v>
      </c>
      <c r="H54" s="21">
        <v>67.5</v>
      </c>
      <c r="I54" s="21">
        <v>13.5</v>
      </c>
      <c r="J54" s="21">
        <v>6.75</v>
      </c>
      <c r="K54" s="21">
        <v>37.125</v>
      </c>
      <c r="L54" s="21">
        <v>6.75</v>
      </c>
      <c r="M54" s="21">
        <v>10.125</v>
      </c>
      <c r="N54" s="21">
        <v>4.7250000000000005</v>
      </c>
      <c r="O54" s="21">
        <v>8.7750000000000004</v>
      </c>
    </row>
    <row r="55" spans="1:15" x14ac:dyDescent="0.25">
      <c r="A55" s="35">
        <v>43474</v>
      </c>
      <c r="B55" s="16">
        <v>8</v>
      </c>
      <c r="C55" s="16" t="s">
        <v>4</v>
      </c>
      <c r="D55" s="21">
        <v>25</v>
      </c>
      <c r="E55" s="21">
        <v>5</v>
      </c>
      <c r="F55" s="21">
        <v>13.750000000000002</v>
      </c>
      <c r="G55" s="21">
        <v>6.25</v>
      </c>
      <c r="H55" s="21">
        <v>37.5</v>
      </c>
      <c r="I55" s="21">
        <v>7.5</v>
      </c>
      <c r="J55" s="21">
        <v>3.75</v>
      </c>
      <c r="K55" s="21">
        <v>20.625</v>
      </c>
      <c r="L55" s="21">
        <v>3.75</v>
      </c>
      <c r="M55" s="21">
        <v>5.625</v>
      </c>
      <c r="N55" s="21">
        <v>2.6250000000000004</v>
      </c>
      <c r="O55" s="21">
        <v>4.875</v>
      </c>
    </row>
    <row r="56" spans="1:15" x14ac:dyDescent="0.25">
      <c r="A56" s="35">
        <v>43474</v>
      </c>
      <c r="B56" s="16">
        <v>7</v>
      </c>
      <c r="C56" s="16" t="s">
        <v>69</v>
      </c>
      <c r="D56" s="21">
        <v>36</v>
      </c>
      <c r="E56" s="21">
        <v>7.2</v>
      </c>
      <c r="F56" s="21">
        <v>19.8</v>
      </c>
      <c r="G56" s="21">
        <v>9</v>
      </c>
      <c r="H56" s="21">
        <v>54</v>
      </c>
      <c r="I56" s="21">
        <v>10.799999999999999</v>
      </c>
      <c r="J56" s="21">
        <v>5.3999999999999995</v>
      </c>
      <c r="K56" s="21">
        <v>29.700000000000003</v>
      </c>
      <c r="L56" s="21">
        <v>5.4</v>
      </c>
      <c r="M56" s="21">
        <v>8.1</v>
      </c>
      <c r="N56" s="21">
        <v>3.7800000000000002</v>
      </c>
      <c r="O56" s="21">
        <v>7.0200000000000005</v>
      </c>
    </row>
    <row r="57" spans="1:15" x14ac:dyDescent="0.25">
      <c r="A57" s="35">
        <v>43475</v>
      </c>
      <c r="B57" s="16">
        <v>10</v>
      </c>
      <c r="C57" s="16" t="s">
        <v>5</v>
      </c>
      <c r="D57" s="21">
        <v>63</v>
      </c>
      <c r="E57" s="21">
        <v>12.600000000000001</v>
      </c>
      <c r="F57" s="21">
        <v>34.650000000000006</v>
      </c>
      <c r="G57" s="21">
        <v>15.75</v>
      </c>
      <c r="H57" s="21">
        <v>94.5</v>
      </c>
      <c r="I57" s="21">
        <v>18.899999999999999</v>
      </c>
      <c r="J57" s="21">
        <v>9.4499999999999993</v>
      </c>
      <c r="K57" s="21">
        <v>51.975000000000001</v>
      </c>
      <c r="L57" s="21">
        <v>9.4500000000000011</v>
      </c>
      <c r="M57" s="21">
        <v>14.174999999999999</v>
      </c>
      <c r="N57" s="21">
        <v>6.6150000000000002</v>
      </c>
      <c r="O57" s="21">
        <v>12.285</v>
      </c>
    </row>
    <row r="58" spans="1:15" x14ac:dyDescent="0.25">
      <c r="A58" s="35">
        <v>43470</v>
      </c>
      <c r="B58" s="16">
        <v>21</v>
      </c>
      <c r="C58" s="16" t="s">
        <v>81</v>
      </c>
      <c r="D58" s="21">
        <v>52</v>
      </c>
      <c r="E58" s="21">
        <v>10.4</v>
      </c>
      <c r="F58" s="21">
        <v>28.6</v>
      </c>
      <c r="G58" s="21">
        <v>13</v>
      </c>
      <c r="H58" s="21">
        <v>78</v>
      </c>
      <c r="I58" s="21">
        <v>15.6</v>
      </c>
      <c r="J58" s="21">
        <v>7.8</v>
      </c>
      <c r="K58" s="21">
        <v>42.900000000000006</v>
      </c>
      <c r="L58" s="21">
        <v>7.8000000000000007</v>
      </c>
      <c r="M58" s="21">
        <v>11.7</v>
      </c>
      <c r="N58" s="21">
        <v>5.4600000000000009</v>
      </c>
      <c r="O58" s="21">
        <v>10.14</v>
      </c>
    </row>
    <row r="59" spans="1:15" x14ac:dyDescent="0.25">
      <c r="A59" s="35">
        <v>43470</v>
      </c>
      <c r="B59" s="16">
        <v>14</v>
      </c>
      <c r="C59" s="16" t="s">
        <v>74</v>
      </c>
      <c r="D59" s="21">
        <v>45</v>
      </c>
      <c r="E59" s="21">
        <v>9</v>
      </c>
      <c r="F59" s="21">
        <v>24.750000000000004</v>
      </c>
      <c r="G59" s="21">
        <v>11.25</v>
      </c>
      <c r="H59" s="21">
        <v>67.5</v>
      </c>
      <c r="I59" s="21">
        <v>13.5</v>
      </c>
      <c r="J59" s="21">
        <v>6.75</v>
      </c>
      <c r="K59" s="21">
        <v>37.125</v>
      </c>
      <c r="L59" s="21">
        <v>6.75</v>
      </c>
      <c r="M59" s="21">
        <v>10.125</v>
      </c>
      <c r="N59" s="21">
        <v>4.7250000000000005</v>
      </c>
      <c r="O59" s="21">
        <v>8.7750000000000004</v>
      </c>
    </row>
    <row r="60" spans="1:15" x14ac:dyDescent="0.25">
      <c r="A60" s="35">
        <v>43476</v>
      </c>
      <c r="B60" s="16">
        <v>5</v>
      </c>
      <c r="C60" s="16" t="s">
        <v>6</v>
      </c>
      <c r="D60" s="21">
        <v>65</v>
      </c>
      <c r="E60" s="21">
        <v>13</v>
      </c>
      <c r="F60" s="21">
        <v>35.75</v>
      </c>
      <c r="G60" s="21">
        <v>16.25</v>
      </c>
      <c r="H60" s="21">
        <v>97.5</v>
      </c>
      <c r="I60" s="21">
        <v>19.5</v>
      </c>
      <c r="J60" s="21">
        <v>9.75</v>
      </c>
      <c r="K60" s="21">
        <v>53.625000000000007</v>
      </c>
      <c r="L60" s="21">
        <v>9.75</v>
      </c>
      <c r="M60" s="21">
        <v>14.625</v>
      </c>
      <c r="N60" s="21">
        <v>6.8250000000000011</v>
      </c>
      <c r="O60" s="21">
        <v>12.675000000000001</v>
      </c>
    </row>
    <row r="61" spans="1:15" x14ac:dyDescent="0.25">
      <c r="A61" s="35">
        <v>43476</v>
      </c>
      <c r="B61" s="16">
        <v>12</v>
      </c>
      <c r="C61" s="16" t="s">
        <v>72</v>
      </c>
      <c r="D61" s="21">
        <v>56</v>
      </c>
      <c r="E61" s="21">
        <v>11.200000000000001</v>
      </c>
      <c r="F61" s="21">
        <v>30.800000000000004</v>
      </c>
      <c r="G61" s="21">
        <v>14</v>
      </c>
      <c r="H61" s="21">
        <v>84</v>
      </c>
      <c r="I61" s="21">
        <v>16.8</v>
      </c>
      <c r="J61" s="21">
        <v>8.4</v>
      </c>
      <c r="K61" s="21">
        <v>46.2</v>
      </c>
      <c r="L61" s="21">
        <v>8.4</v>
      </c>
      <c r="M61" s="21">
        <v>12.6</v>
      </c>
      <c r="N61" s="21">
        <v>5.8800000000000008</v>
      </c>
      <c r="O61" s="21">
        <v>10.92</v>
      </c>
    </row>
    <row r="62" spans="1:15" x14ac:dyDescent="0.25">
      <c r="A62" s="35">
        <v>43476</v>
      </c>
      <c r="B62" s="16">
        <v>19</v>
      </c>
      <c r="C62" s="16" t="s">
        <v>79</v>
      </c>
      <c r="D62" s="21">
        <v>65</v>
      </c>
      <c r="E62" s="21">
        <v>13</v>
      </c>
      <c r="F62" s="21">
        <v>35.75</v>
      </c>
      <c r="G62" s="21">
        <v>16.25</v>
      </c>
      <c r="H62" s="21">
        <v>97.5</v>
      </c>
      <c r="I62" s="21">
        <v>19.5</v>
      </c>
      <c r="J62" s="21">
        <v>9.75</v>
      </c>
      <c r="K62" s="21">
        <v>53.625000000000007</v>
      </c>
      <c r="L62" s="21">
        <v>9.75</v>
      </c>
      <c r="M62" s="21">
        <v>14.625</v>
      </c>
      <c r="N62" s="21">
        <v>6.8250000000000011</v>
      </c>
      <c r="O62" s="21">
        <v>12.675000000000001</v>
      </c>
    </row>
    <row r="63" spans="1:15" x14ac:dyDescent="0.25">
      <c r="A63" s="35">
        <v>43476</v>
      </c>
      <c r="B63" s="16">
        <v>17</v>
      </c>
      <c r="C63" s="16" t="s">
        <v>77</v>
      </c>
      <c r="D63" s="21">
        <v>15</v>
      </c>
      <c r="E63" s="21">
        <v>3</v>
      </c>
      <c r="F63" s="21">
        <v>8.25</v>
      </c>
      <c r="G63" s="21">
        <v>3.75</v>
      </c>
      <c r="H63" s="21">
        <v>22.5</v>
      </c>
      <c r="I63" s="21">
        <v>4.5</v>
      </c>
      <c r="J63" s="21">
        <v>2.25</v>
      </c>
      <c r="K63" s="21">
        <v>12.375000000000002</v>
      </c>
      <c r="L63" s="21">
        <v>2.25</v>
      </c>
      <c r="M63" s="21">
        <v>3.375</v>
      </c>
      <c r="N63" s="21">
        <v>1.5750000000000002</v>
      </c>
      <c r="O63" s="21">
        <v>2.9250000000000003</v>
      </c>
    </row>
    <row r="64" spans="1:15" x14ac:dyDescent="0.25">
      <c r="A64" s="35">
        <v>43477</v>
      </c>
      <c r="B64" s="16">
        <v>13</v>
      </c>
      <c r="C64" s="16" t="s">
        <v>73</v>
      </c>
      <c r="D64" s="21">
        <v>28</v>
      </c>
      <c r="E64" s="21">
        <v>5.6000000000000005</v>
      </c>
      <c r="F64" s="21">
        <v>15.400000000000002</v>
      </c>
      <c r="G64" s="21">
        <v>7</v>
      </c>
      <c r="H64" s="21">
        <v>42</v>
      </c>
      <c r="I64" s="21">
        <v>8.4</v>
      </c>
      <c r="J64" s="21">
        <v>4.2</v>
      </c>
      <c r="K64" s="21">
        <v>23.1</v>
      </c>
      <c r="L64" s="21">
        <v>4.2</v>
      </c>
      <c r="M64" s="21">
        <v>6.3</v>
      </c>
      <c r="N64" s="21">
        <v>2.9400000000000004</v>
      </c>
      <c r="O64" s="21">
        <v>5.46</v>
      </c>
    </row>
    <row r="65" spans="1:15" x14ac:dyDescent="0.25">
      <c r="A65" s="35">
        <v>43479</v>
      </c>
      <c r="B65" s="16">
        <v>20</v>
      </c>
      <c r="C65" s="16" t="s">
        <v>80</v>
      </c>
      <c r="D65" s="21">
        <v>14</v>
      </c>
      <c r="E65" s="21">
        <v>2.8000000000000003</v>
      </c>
      <c r="F65" s="21">
        <v>7.7000000000000011</v>
      </c>
      <c r="G65" s="21">
        <v>3.5</v>
      </c>
      <c r="H65" s="21">
        <v>21</v>
      </c>
      <c r="I65" s="21">
        <v>4.2</v>
      </c>
      <c r="J65" s="21">
        <v>2.1</v>
      </c>
      <c r="K65" s="21">
        <v>11.55</v>
      </c>
      <c r="L65" s="21">
        <v>2.1</v>
      </c>
      <c r="M65" s="21">
        <v>3.15</v>
      </c>
      <c r="N65" s="21">
        <v>1.4700000000000002</v>
      </c>
      <c r="O65" s="21">
        <v>2.73</v>
      </c>
    </row>
    <row r="66" spans="1:15" x14ac:dyDescent="0.25">
      <c r="A66" s="35">
        <v>43479</v>
      </c>
      <c r="B66" s="16">
        <v>11</v>
      </c>
      <c r="C66" s="16" t="s">
        <v>71</v>
      </c>
      <c r="D66" s="21">
        <v>12</v>
      </c>
      <c r="E66" s="21">
        <v>2.4000000000000004</v>
      </c>
      <c r="F66" s="21">
        <v>6.6000000000000005</v>
      </c>
      <c r="G66" s="21">
        <v>3</v>
      </c>
      <c r="H66" s="21">
        <v>18</v>
      </c>
      <c r="I66" s="21">
        <v>3.5999999999999996</v>
      </c>
      <c r="J66" s="21">
        <v>1.7999999999999998</v>
      </c>
      <c r="K66" s="21">
        <v>9.9</v>
      </c>
      <c r="L66" s="21">
        <v>1.8</v>
      </c>
      <c r="M66" s="21">
        <v>2.6999999999999997</v>
      </c>
      <c r="N66" s="21">
        <v>1.2600000000000002</v>
      </c>
      <c r="O66" s="21">
        <v>2.34</v>
      </c>
    </row>
    <row r="67" spans="1:15" x14ac:dyDescent="0.25">
      <c r="A67" s="35">
        <v>43479</v>
      </c>
      <c r="B67" s="16">
        <v>4</v>
      </c>
      <c r="C67" s="16" t="s">
        <v>67</v>
      </c>
      <c r="D67" s="21">
        <v>65</v>
      </c>
      <c r="E67" s="21">
        <v>13</v>
      </c>
      <c r="F67" s="21">
        <v>35.75</v>
      </c>
      <c r="G67" s="21">
        <v>16.25</v>
      </c>
      <c r="H67" s="21">
        <v>97.5</v>
      </c>
      <c r="I67" s="21">
        <v>19.5</v>
      </c>
      <c r="J67" s="21">
        <v>9.75</v>
      </c>
      <c r="K67" s="21">
        <v>53.625000000000007</v>
      </c>
      <c r="L67" s="21">
        <v>9.75</v>
      </c>
      <c r="M67" s="21">
        <v>14.625</v>
      </c>
      <c r="N67" s="21">
        <v>6.8250000000000011</v>
      </c>
      <c r="O67" s="21">
        <v>12.675000000000001</v>
      </c>
    </row>
    <row r="68" spans="1:15" x14ac:dyDescent="0.25">
      <c r="A68" s="35">
        <v>43479</v>
      </c>
      <c r="B68" s="16">
        <v>16</v>
      </c>
      <c r="C68" s="16" t="s">
        <v>76</v>
      </c>
      <c r="D68" s="21">
        <v>98</v>
      </c>
      <c r="E68" s="21">
        <v>19.600000000000001</v>
      </c>
      <c r="F68" s="21">
        <v>53.900000000000006</v>
      </c>
      <c r="G68" s="21">
        <v>24.5</v>
      </c>
      <c r="H68" s="21">
        <v>147</v>
      </c>
      <c r="I68" s="21">
        <v>29.4</v>
      </c>
      <c r="J68" s="21">
        <v>14.7</v>
      </c>
      <c r="K68" s="21">
        <v>80.850000000000009</v>
      </c>
      <c r="L68" s="21">
        <v>14.700000000000001</v>
      </c>
      <c r="M68" s="21">
        <v>22.05</v>
      </c>
      <c r="N68" s="21">
        <v>10.290000000000001</v>
      </c>
      <c r="O68" s="21">
        <v>19.11</v>
      </c>
    </row>
    <row r="69" spans="1:15" x14ac:dyDescent="0.25">
      <c r="A69" s="35">
        <v>43479</v>
      </c>
      <c r="B69" s="16">
        <v>3</v>
      </c>
      <c r="C69" s="16" t="s">
        <v>66</v>
      </c>
      <c r="D69" s="21">
        <v>56</v>
      </c>
      <c r="E69" s="21">
        <v>11.200000000000001</v>
      </c>
      <c r="F69" s="21">
        <v>30.800000000000004</v>
      </c>
      <c r="G69" s="21">
        <v>14</v>
      </c>
      <c r="H69" s="21">
        <v>84</v>
      </c>
      <c r="I69" s="21">
        <v>16.8</v>
      </c>
      <c r="J69" s="21">
        <v>8.4</v>
      </c>
      <c r="K69" s="21">
        <v>46.2</v>
      </c>
      <c r="L69" s="21">
        <v>8.4</v>
      </c>
      <c r="M69" s="21">
        <v>12.6</v>
      </c>
      <c r="N69" s="21">
        <v>5.8800000000000008</v>
      </c>
      <c r="O69" s="21">
        <v>10.92</v>
      </c>
    </row>
    <row r="70" spans="1:15" x14ac:dyDescent="0.25">
      <c r="A70" s="35">
        <v>43480</v>
      </c>
      <c r="B70" s="16">
        <v>2</v>
      </c>
      <c r="C70" s="16" t="s">
        <v>65</v>
      </c>
      <c r="D70" s="21">
        <v>55</v>
      </c>
      <c r="E70" s="21">
        <v>11</v>
      </c>
      <c r="F70" s="21">
        <v>30.250000000000004</v>
      </c>
      <c r="G70" s="21">
        <v>13.75</v>
      </c>
      <c r="H70" s="21">
        <v>82.5</v>
      </c>
      <c r="I70" s="21">
        <v>16.5</v>
      </c>
      <c r="J70" s="21">
        <v>8.25</v>
      </c>
      <c r="K70" s="21">
        <v>45.375000000000007</v>
      </c>
      <c r="L70" s="21">
        <v>8.25</v>
      </c>
      <c r="M70" s="21">
        <v>12.375</v>
      </c>
      <c r="N70" s="21">
        <v>5.7750000000000004</v>
      </c>
      <c r="O70" s="21">
        <v>10.725</v>
      </c>
    </row>
    <row r="71" spans="1:15" x14ac:dyDescent="0.25">
      <c r="A71" s="35">
        <v>43481</v>
      </c>
      <c r="B71" s="16">
        <v>1</v>
      </c>
      <c r="C71" s="16" t="s">
        <v>3</v>
      </c>
      <c r="D71" s="21">
        <v>44</v>
      </c>
      <c r="E71" s="21">
        <v>8.8000000000000007</v>
      </c>
      <c r="F71" s="21">
        <v>24.200000000000003</v>
      </c>
      <c r="G71" s="21">
        <v>11</v>
      </c>
      <c r="H71" s="21">
        <v>66</v>
      </c>
      <c r="I71" s="21">
        <v>13.2</v>
      </c>
      <c r="J71" s="21">
        <v>6.6</v>
      </c>
      <c r="K71" s="21">
        <v>36.300000000000004</v>
      </c>
      <c r="L71" s="21">
        <v>6.6000000000000005</v>
      </c>
      <c r="M71" s="21">
        <v>9.9</v>
      </c>
      <c r="N71" s="21">
        <v>4.62</v>
      </c>
      <c r="O71" s="21">
        <v>8.58</v>
      </c>
    </row>
    <row r="72" spans="1:15" x14ac:dyDescent="0.25">
      <c r="A72" s="35">
        <v>43472</v>
      </c>
      <c r="B72" s="16">
        <v>18</v>
      </c>
      <c r="C72" s="16" t="s">
        <v>78</v>
      </c>
      <c r="D72" s="21">
        <v>10</v>
      </c>
      <c r="E72" s="21">
        <v>2</v>
      </c>
      <c r="F72" s="21">
        <v>5.5</v>
      </c>
      <c r="G72" s="21">
        <v>2.5</v>
      </c>
      <c r="H72" s="21">
        <v>15</v>
      </c>
      <c r="I72" s="21">
        <v>3</v>
      </c>
      <c r="J72" s="21">
        <v>1.5</v>
      </c>
      <c r="K72" s="21">
        <v>8.25</v>
      </c>
      <c r="L72" s="21">
        <v>1.5</v>
      </c>
      <c r="M72" s="21">
        <v>2.25</v>
      </c>
      <c r="N72" s="21">
        <v>1.05</v>
      </c>
      <c r="O72" s="21">
        <v>1.9500000000000002</v>
      </c>
    </row>
    <row r="73" spans="1:15" x14ac:dyDescent="0.25">
      <c r="A73" s="35">
        <v>43472</v>
      </c>
      <c r="B73" s="16">
        <v>9</v>
      </c>
      <c r="C73" s="16" t="s">
        <v>70</v>
      </c>
      <c r="D73" s="21">
        <v>60</v>
      </c>
      <c r="E73" s="21">
        <v>12</v>
      </c>
      <c r="F73" s="21">
        <v>33</v>
      </c>
      <c r="G73" s="21">
        <v>15</v>
      </c>
      <c r="H73" s="21">
        <v>90</v>
      </c>
      <c r="I73" s="21">
        <v>18</v>
      </c>
      <c r="J73" s="21">
        <v>9</v>
      </c>
      <c r="K73" s="21">
        <v>49.500000000000007</v>
      </c>
      <c r="L73" s="21">
        <v>9</v>
      </c>
      <c r="M73" s="21">
        <v>13.5</v>
      </c>
      <c r="N73" s="21">
        <v>6.3000000000000007</v>
      </c>
      <c r="O73" s="21">
        <v>11.700000000000001</v>
      </c>
    </row>
    <row r="74" spans="1:15" x14ac:dyDescent="0.25">
      <c r="A74" s="35">
        <v>43472</v>
      </c>
      <c r="B74" s="16">
        <v>6</v>
      </c>
      <c r="C74" s="16" t="s">
        <v>68</v>
      </c>
      <c r="D74" s="21">
        <v>80</v>
      </c>
      <c r="E74" s="21">
        <v>16</v>
      </c>
      <c r="F74" s="21">
        <v>44</v>
      </c>
      <c r="G74" s="21">
        <v>20</v>
      </c>
      <c r="H74" s="21">
        <v>120</v>
      </c>
      <c r="I74" s="21">
        <v>24</v>
      </c>
      <c r="J74" s="21">
        <v>12</v>
      </c>
      <c r="K74" s="21">
        <v>66</v>
      </c>
      <c r="L74" s="21">
        <v>12</v>
      </c>
      <c r="M74" s="21">
        <v>18</v>
      </c>
      <c r="N74" s="21">
        <v>8.4</v>
      </c>
      <c r="O74" s="21">
        <v>15.600000000000001</v>
      </c>
    </row>
    <row r="75" spans="1:15" x14ac:dyDescent="0.25">
      <c r="A75" s="35">
        <v>43473</v>
      </c>
      <c r="B75" s="16">
        <v>15</v>
      </c>
      <c r="C75" s="16" t="s">
        <v>75</v>
      </c>
      <c r="D75" s="21">
        <v>99</v>
      </c>
      <c r="E75" s="21">
        <v>19.8</v>
      </c>
      <c r="F75" s="21">
        <v>54.45</v>
      </c>
      <c r="G75" s="21">
        <v>24.75</v>
      </c>
      <c r="H75" s="21">
        <v>148.5</v>
      </c>
      <c r="I75" s="21">
        <v>29.7</v>
      </c>
      <c r="J75" s="21">
        <v>14.85</v>
      </c>
      <c r="K75" s="21">
        <v>81.675000000000011</v>
      </c>
      <c r="L75" s="21">
        <v>14.850000000000001</v>
      </c>
      <c r="M75" s="21">
        <v>22.274999999999999</v>
      </c>
      <c r="N75" s="21">
        <v>10.395000000000001</v>
      </c>
      <c r="O75" s="21">
        <v>19.305</v>
      </c>
    </row>
    <row r="76" spans="1:15" x14ac:dyDescent="0.25">
      <c r="A76" s="35">
        <v>43479</v>
      </c>
      <c r="B76" s="16">
        <v>8</v>
      </c>
      <c r="C76" s="16" t="s">
        <v>4</v>
      </c>
      <c r="D76" s="21">
        <v>80</v>
      </c>
      <c r="E76" s="21">
        <v>16</v>
      </c>
      <c r="F76" s="21">
        <v>44</v>
      </c>
      <c r="G76" s="21">
        <v>20</v>
      </c>
      <c r="H76" s="21">
        <v>120</v>
      </c>
      <c r="I76" s="21">
        <v>24</v>
      </c>
      <c r="J76" s="21">
        <v>12</v>
      </c>
      <c r="K76" s="21">
        <v>66</v>
      </c>
      <c r="L76" s="21">
        <v>12</v>
      </c>
      <c r="M76" s="21">
        <v>18</v>
      </c>
      <c r="N76" s="21">
        <v>8.4</v>
      </c>
      <c r="O76" s="21">
        <v>15.600000000000001</v>
      </c>
    </row>
    <row r="77" spans="1:15" x14ac:dyDescent="0.25">
      <c r="A77" s="35">
        <v>43479</v>
      </c>
      <c r="B77" s="16">
        <v>7</v>
      </c>
      <c r="C77" s="16" t="s">
        <v>69</v>
      </c>
      <c r="D77" s="21">
        <v>45</v>
      </c>
      <c r="E77" s="21">
        <v>9</v>
      </c>
      <c r="F77" s="21">
        <v>24.750000000000004</v>
      </c>
      <c r="G77" s="21">
        <v>11.25</v>
      </c>
      <c r="H77" s="21">
        <v>67.5</v>
      </c>
      <c r="I77" s="21">
        <v>13.5</v>
      </c>
      <c r="J77" s="21">
        <v>6.75</v>
      </c>
      <c r="K77" s="21">
        <v>37.125</v>
      </c>
      <c r="L77" s="21">
        <v>6.75</v>
      </c>
      <c r="M77" s="21">
        <v>10.125</v>
      </c>
      <c r="N77" s="21">
        <v>4.7250000000000005</v>
      </c>
      <c r="O77" s="21">
        <v>8.7750000000000004</v>
      </c>
    </row>
    <row r="78" spans="1:15" x14ac:dyDescent="0.25">
      <c r="A78" s="35">
        <v>43479</v>
      </c>
      <c r="B78" s="16">
        <v>10</v>
      </c>
      <c r="C78" s="16" t="s">
        <v>5</v>
      </c>
      <c r="D78" s="21">
        <v>23</v>
      </c>
      <c r="E78" s="21">
        <v>4.6000000000000005</v>
      </c>
      <c r="F78" s="21">
        <v>12.65</v>
      </c>
      <c r="G78" s="21">
        <v>5.75</v>
      </c>
      <c r="H78" s="21">
        <v>34.5</v>
      </c>
      <c r="I78" s="21">
        <v>6.8999999999999995</v>
      </c>
      <c r="J78" s="21">
        <v>3.4499999999999997</v>
      </c>
      <c r="K78" s="21">
        <v>18.975000000000001</v>
      </c>
      <c r="L78" s="21">
        <v>3.45</v>
      </c>
      <c r="M78" s="21">
        <v>5.1749999999999998</v>
      </c>
      <c r="N78" s="21">
        <v>2.415</v>
      </c>
      <c r="O78" s="21">
        <v>4.4850000000000003</v>
      </c>
    </row>
    <row r="79" spans="1:15" x14ac:dyDescent="0.25">
      <c r="A79" s="35">
        <v>43482</v>
      </c>
      <c r="B79" s="16">
        <v>21</v>
      </c>
      <c r="C79" s="16" t="s">
        <v>81</v>
      </c>
      <c r="D79" s="21">
        <v>78</v>
      </c>
      <c r="E79" s="21">
        <v>15.600000000000001</v>
      </c>
      <c r="F79" s="21">
        <v>42.900000000000006</v>
      </c>
      <c r="G79" s="21">
        <v>19.5</v>
      </c>
      <c r="H79" s="21">
        <v>117</v>
      </c>
      <c r="I79" s="21">
        <v>23.4</v>
      </c>
      <c r="J79" s="21">
        <v>11.7</v>
      </c>
      <c r="K79" s="21">
        <v>64.350000000000009</v>
      </c>
      <c r="L79" s="21">
        <v>11.700000000000001</v>
      </c>
      <c r="M79" s="21">
        <v>17.55</v>
      </c>
      <c r="N79" s="21">
        <v>8.1900000000000013</v>
      </c>
      <c r="O79" s="21">
        <v>15.21</v>
      </c>
    </row>
    <row r="80" spans="1:15" x14ac:dyDescent="0.25">
      <c r="A80" s="35">
        <v>43473</v>
      </c>
      <c r="B80" s="16">
        <v>14</v>
      </c>
      <c r="C80" s="16" t="s">
        <v>74</v>
      </c>
      <c r="D80" s="21">
        <v>56</v>
      </c>
      <c r="E80" s="21">
        <v>11.200000000000001</v>
      </c>
      <c r="F80" s="21">
        <v>30.800000000000004</v>
      </c>
      <c r="G80" s="21">
        <v>14</v>
      </c>
      <c r="H80" s="21">
        <v>84</v>
      </c>
      <c r="I80" s="21">
        <v>16.8</v>
      </c>
      <c r="J80" s="21">
        <v>8.4</v>
      </c>
      <c r="K80" s="21">
        <v>46.2</v>
      </c>
      <c r="L80" s="21">
        <v>8.4</v>
      </c>
      <c r="M80" s="21">
        <v>12.6</v>
      </c>
      <c r="N80" s="21">
        <v>5.8800000000000008</v>
      </c>
      <c r="O80" s="21">
        <v>10.92</v>
      </c>
    </row>
    <row r="81" spans="1:15" x14ac:dyDescent="0.25">
      <c r="A81" s="35">
        <v>43483</v>
      </c>
      <c r="B81" s="16">
        <v>5</v>
      </c>
      <c r="C81" s="16" t="s">
        <v>6</v>
      </c>
      <c r="D81" s="21">
        <v>46</v>
      </c>
      <c r="E81" s="21">
        <v>9.2000000000000011</v>
      </c>
      <c r="F81" s="21">
        <v>25.3</v>
      </c>
      <c r="G81" s="21">
        <v>11.5</v>
      </c>
      <c r="H81" s="21">
        <v>69</v>
      </c>
      <c r="I81" s="21">
        <v>13.799999999999999</v>
      </c>
      <c r="J81" s="21">
        <v>6.8999999999999995</v>
      </c>
      <c r="K81" s="21">
        <v>37.950000000000003</v>
      </c>
      <c r="L81" s="21">
        <v>6.9</v>
      </c>
      <c r="M81" s="21">
        <v>10.35</v>
      </c>
      <c r="N81" s="21">
        <v>4.83</v>
      </c>
      <c r="O81" s="21">
        <v>8.9700000000000006</v>
      </c>
    </row>
    <row r="82" spans="1:15" x14ac:dyDescent="0.25">
      <c r="A82" s="35">
        <v>43483</v>
      </c>
      <c r="B82" s="16">
        <v>12</v>
      </c>
      <c r="C82" s="16" t="s">
        <v>72</v>
      </c>
      <c r="D82" s="21">
        <v>14</v>
      </c>
      <c r="E82" s="21">
        <v>2.8000000000000003</v>
      </c>
      <c r="F82" s="21">
        <v>7.7000000000000011</v>
      </c>
      <c r="G82" s="21">
        <v>3.5</v>
      </c>
      <c r="H82" s="21">
        <v>21</v>
      </c>
      <c r="I82" s="21">
        <v>4.2</v>
      </c>
      <c r="J82" s="21">
        <v>2.1</v>
      </c>
      <c r="K82" s="21">
        <v>11.55</v>
      </c>
      <c r="L82" s="21">
        <v>2.1</v>
      </c>
      <c r="M82" s="21">
        <v>3.15</v>
      </c>
      <c r="N82" s="21">
        <v>1.4700000000000002</v>
      </c>
      <c r="O82" s="21">
        <v>2.73</v>
      </c>
    </row>
    <row r="83" spans="1:15" x14ac:dyDescent="0.25">
      <c r="A83" s="35">
        <v>43483</v>
      </c>
      <c r="B83" s="16">
        <v>19</v>
      </c>
      <c r="C83" s="16" t="s">
        <v>79</v>
      </c>
      <c r="D83" s="21">
        <v>52</v>
      </c>
      <c r="E83" s="21">
        <v>10.4</v>
      </c>
      <c r="F83" s="21">
        <v>28.6</v>
      </c>
      <c r="G83" s="21">
        <v>13</v>
      </c>
      <c r="H83" s="21">
        <v>78</v>
      </c>
      <c r="I83" s="21">
        <v>15.6</v>
      </c>
      <c r="J83" s="21">
        <v>7.8</v>
      </c>
      <c r="K83" s="21">
        <v>42.900000000000006</v>
      </c>
      <c r="L83" s="21">
        <v>7.8000000000000007</v>
      </c>
      <c r="M83" s="21">
        <v>11.7</v>
      </c>
      <c r="N83" s="21">
        <v>5.4600000000000009</v>
      </c>
      <c r="O83" s="21">
        <v>10.14</v>
      </c>
    </row>
    <row r="84" spans="1:15" x14ac:dyDescent="0.25">
      <c r="A84" s="35">
        <v>43483</v>
      </c>
      <c r="B84" s="16">
        <v>17</v>
      </c>
      <c r="C84" s="16" t="s">
        <v>77</v>
      </c>
      <c r="D84" s="21">
        <v>52</v>
      </c>
      <c r="E84" s="21">
        <v>10.4</v>
      </c>
      <c r="F84" s="21">
        <v>28.6</v>
      </c>
      <c r="G84" s="21">
        <v>13</v>
      </c>
      <c r="H84" s="21">
        <v>78</v>
      </c>
      <c r="I84" s="21">
        <v>15.6</v>
      </c>
      <c r="J84" s="21">
        <v>7.8</v>
      </c>
      <c r="K84" s="21">
        <v>42.900000000000006</v>
      </c>
      <c r="L84" s="21">
        <v>7.8000000000000007</v>
      </c>
      <c r="M84" s="21">
        <v>11.7</v>
      </c>
      <c r="N84" s="21">
        <v>5.4600000000000009</v>
      </c>
      <c r="O84" s="21">
        <v>10.14</v>
      </c>
    </row>
    <row r="85" spans="1:15" x14ac:dyDescent="0.25">
      <c r="A85" s="35">
        <v>43480</v>
      </c>
      <c r="B85" s="16">
        <v>4</v>
      </c>
      <c r="C85" s="16" t="s">
        <v>67</v>
      </c>
      <c r="D85" s="21">
        <v>63</v>
      </c>
      <c r="E85" s="21">
        <v>12.600000000000001</v>
      </c>
      <c r="F85" s="21">
        <v>34.650000000000006</v>
      </c>
      <c r="G85" s="21">
        <v>15.75</v>
      </c>
      <c r="H85" s="21">
        <v>94.5</v>
      </c>
      <c r="I85" s="21">
        <v>18.899999999999999</v>
      </c>
      <c r="J85" s="21">
        <v>9.4499999999999993</v>
      </c>
      <c r="K85" s="21">
        <v>51.975000000000001</v>
      </c>
      <c r="L85" s="21">
        <v>9.4500000000000011</v>
      </c>
      <c r="M85" s="21">
        <v>14.174999999999999</v>
      </c>
      <c r="N85" s="21">
        <v>6.6150000000000002</v>
      </c>
      <c r="O85" s="21">
        <v>12.285</v>
      </c>
    </row>
    <row r="86" spans="1:15" x14ac:dyDescent="0.25">
      <c r="A86" s="35">
        <v>43480</v>
      </c>
      <c r="B86" s="16">
        <v>16</v>
      </c>
      <c r="C86" s="16" t="s">
        <v>76</v>
      </c>
      <c r="D86" s="21">
        <v>65</v>
      </c>
      <c r="E86" s="21">
        <v>13</v>
      </c>
      <c r="F86" s="21">
        <v>35.75</v>
      </c>
      <c r="G86" s="21">
        <v>16.25</v>
      </c>
      <c r="H86" s="21">
        <v>97.5</v>
      </c>
      <c r="I86" s="21">
        <v>19.5</v>
      </c>
      <c r="J86" s="21">
        <v>9.75</v>
      </c>
      <c r="K86" s="21">
        <v>53.625000000000007</v>
      </c>
      <c r="L86" s="21">
        <v>9.75</v>
      </c>
      <c r="M86" s="21">
        <v>14.625</v>
      </c>
      <c r="N86" s="21">
        <v>6.8250000000000011</v>
      </c>
      <c r="O86" s="21">
        <v>12.675000000000001</v>
      </c>
    </row>
    <row r="87" spans="1:15" x14ac:dyDescent="0.25">
      <c r="A87" s="35">
        <v>43480</v>
      </c>
      <c r="B87" s="16">
        <v>3</v>
      </c>
      <c r="C87" s="16" t="s">
        <v>66</v>
      </c>
      <c r="D87" s="21">
        <v>68</v>
      </c>
      <c r="E87" s="21">
        <v>13.600000000000001</v>
      </c>
      <c r="F87" s="21">
        <v>37.400000000000006</v>
      </c>
      <c r="G87" s="21">
        <v>17</v>
      </c>
      <c r="H87" s="21">
        <v>102</v>
      </c>
      <c r="I87" s="21">
        <v>20.399999999999999</v>
      </c>
      <c r="J87" s="21">
        <v>10.199999999999999</v>
      </c>
      <c r="K87" s="21">
        <v>56.1</v>
      </c>
      <c r="L87" s="21">
        <v>10.200000000000001</v>
      </c>
      <c r="M87" s="21">
        <v>15.299999999999999</v>
      </c>
      <c r="N87" s="21">
        <v>7.1400000000000006</v>
      </c>
      <c r="O87" s="21">
        <v>13.26</v>
      </c>
    </row>
    <row r="88" spans="1:15" x14ac:dyDescent="0.25">
      <c r="A88" s="35">
        <v>43481</v>
      </c>
      <c r="B88" s="16">
        <v>2</v>
      </c>
      <c r="C88" s="16" t="s">
        <v>65</v>
      </c>
      <c r="D88" s="21">
        <v>74</v>
      </c>
      <c r="E88" s="21">
        <v>14.8</v>
      </c>
      <c r="F88" s="21">
        <v>40.700000000000003</v>
      </c>
      <c r="G88" s="21">
        <v>18.5</v>
      </c>
      <c r="H88" s="21">
        <v>111</v>
      </c>
      <c r="I88" s="21">
        <v>22.2</v>
      </c>
      <c r="J88" s="21">
        <v>11.1</v>
      </c>
      <c r="K88" s="21">
        <v>61.050000000000004</v>
      </c>
      <c r="L88" s="21">
        <v>11.100000000000001</v>
      </c>
      <c r="M88" s="21">
        <v>16.649999999999999</v>
      </c>
      <c r="N88" s="21">
        <v>7.7700000000000005</v>
      </c>
      <c r="O88" s="21">
        <v>14.43</v>
      </c>
    </row>
    <row r="89" spans="1:15" x14ac:dyDescent="0.25">
      <c r="A89" s="35">
        <v>43481</v>
      </c>
      <c r="B89" s="16">
        <v>1</v>
      </c>
      <c r="C89" s="16" t="s">
        <v>3</v>
      </c>
      <c r="D89" s="21">
        <v>85</v>
      </c>
      <c r="E89" s="21">
        <v>17</v>
      </c>
      <c r="F89" s="21">
        <v>46.750000000000007</v>
      </c>
      <c r="G89" s="21">
        <v>21.25</v>
      </c>
      <c r="H89" s="21">
        <v>127.5</v>
      </c>
      <c r="I89" s="21">
        <v>25.5</v>
      </c>
      <c r="J89" s="21">
        <v>12.75</v>
      </c>
      <c r="K89" s="21">
        <v>70.125</v>
      </c>
      <c r="L89" s="21">
        <v>12.75</v>
      </c>
      <c r="M89" s="21">
        <v>19.125</v>
      </c>
      <c r="N89" s="21">
        <v>8.9250000000000007</v>
      </c>
      <c r="O89" s="21">
        <v>16.574999999999999</v>
      </c>
    </row>
    <row r="90" spans="1:15" x14ac:dyDescent="0.25">
      <c r="A90" s="35">
        <v>43481</v>
      </c>
      <c r="B90" s="16">
        <v>18</v>
      </c>
      <c r="C90" s="16" t="s">
        <v>78</v>
      </c>
      <c r="D90" s="21">
        <v>96</v>
      </c>
      <c r="E90" s="21">
        <v>19.200000000000003</v>
      </c>
      <c r="F90" s="21">
        <v>52.800000000000004</v>
      </c>
      <c r="G90" s="21">
        <v>24</v>
      </c>
      <c r="H90" s="21">
        <v>144</v>
      </c>
      <c r="I90" s="21">
        <v>28.799999999999997</v>
      </c>
      <c r="J90" s="21">
        <v>14.399999999999999</v>
      </c>
      <c r="K90" s="21">
        <v>79.2</v>
      </c>
      <c r="L90" s="21">
        <v>14.4</v>
      </c>
      <c r="M90" s="21">
        <v>21.599999999999998</v>
      </c>
      <c r="N90" s="21">
        <v>10.080000000000002</v>
      </c>
      <c r="O90" s="21">
        <v>18.72</v>
      </c>
    </row>
    <row r="91" spans="1:15" x14ac:dyDescent="0.25">
      <c r="A91" s="35">
        <v>43481</v>
      </c>
      <c r="B91" s="16">
        <v>9</v>
      </c>
      <c r="C91" s="16" t="s">
        <v>70</v>
      </c>
      <c r="D91" s="21">
        <v>50</v>
      </c>
      <c r="E91" s="21">
        <v>10</v>
      </c>
      <c r="F91" s="21">
        <v>27.500000000000004</v>
      </c>
      <c r="G91" s="21">
        <v>12.5</v>
      </c>
      <c r="H91" s="21">
        <v>75</v>
      </c>
      <c r="I91" s="21">
        <v>15</v>
      </c>
      <c r="J91" s="21">
        <v>7.5</v>
      </c>
      <c r="K91" s="21">
        <v>41.25</v>
      </c>
      <c r="L91" s="21">
        <v>7.5</v>
      </c>
      <c r="M91" s="21">
        <v>11.25</v>
      </c>
      <c r="N91" s="21">
        <v>5.2500000000000009</v>
      </c>
      <c r="O91" s="21">
        <v>9.75</v>
      </c>
    </row>
    <row r="92" spans="1:15" x14ac:dyDescent="0.25">
      <c r="A92" s="35">
        <v>43481</v>
      </c>
      <c r="B92" s="16">
        <v>6</v>
      </c>
      <c r="C92" s="16" t="s">
        <v>68</v>
      </c>
      <c r="D92" s="21">
        <v>40</v>
      </c>
      <c r="E92" s="21">
        <v>8</v>
      </c>
      <c r="F92" s="21">
        <v>22</v>
      </c>
      <c r="G92" s="21">
        <v>10</v>
      </c>
      <c r="H92" s="21">
        <v>60</v>
      </c>
      <c r="I92" s="21">
        <v>12</v>
      </c>
      <c r="J92" s="21">
        <v>6</v>
      </c>
      <c r="K92" s="21">
        <v>33</v>
      </c>
      <c r="L92" s="21">
        <v>6</v>
      </c>
      <c r="M92" s="21">
        <v>9</v>
      </c>
      <c r="N92" s="21">
        <v>4.2</v>
      </c>
      <c r="O92" s="21">
        <v>7.8000000000000007</v>
      </c>
    </row>
    <row r="93" spans="1:15" x14ac:dyDescent="0.25">
      <c r="A93" s="35">
        <v>43481</v>
      </c>
      <c r="B93" s="16">
        <v>15</v>
      </c>
      <c r="C93" s="16" t="s">
        <v>75</v>
      </c>
      <c r="D93" s="21">
        <v>41</v>
      </c>
      <c r="E93" s="21">
        <v>8.2000000000000011</v>
      </c>
      <c r="F93" s="21">
        <v>22.55</v>
      </c>
      <c r="G93" s="21">
        <v>10.25</v>
      </c>
      <c r="H93" s="21">
        <v>61.5</v>
      </c>
      <c r="I93" s="21">
        <v>12.299999999999999</v>
      </c>
      <c r="J93" s="21">
        <v>6.1499999999999995</v>
      </c>
      <c r="K93" s="21">
        <v>33.825000000000003</v>
      </c>
      <c r="L93" s="21">
        <v>6.15</v>
      </c>
      <c r="M93" s="21">
        <v>9.2249999999999996</v>
      </c>
      <c r="N93" s="21">
        <v>4.3050000000000006</v>
      </c>
      <c r="O93" s="21">
        <v>7.9950000000000001</v>
      </c>
    </row>
    <row r="94" spans="1:15" x14ac:dyDescent="0.25">
      <c r="A94" s="35">
        <v>43474</v>
      </c>
      <c r="B94" s="16">
        <v>8</v>
      </c>
      <c r="C94" s="16" t="s">
        <v>4</v>
      </c>
      <c r="D94" s="21">
        <v>45</v>
      </c>
      <c r="E94" s="21">
        <v>9</v>
      </c>
      <c r="F94" s="21">
        <v>24.750000000000004</v>
      </c>
      <c r="G94" s="21">
        <v>11.25</v>
      </c>
      <c r="H94" s="21">
        <v>67.5</v>
      </c>
      <c r="I94" s="21">
        <v>13.5</v>
      </c>
      <c r="J94" s="21">
        <v>6.75</v>
      </c>
      <c r="K94" s="21">
        <v>37.125</v>
      </c>
      <c r="L94" s="21">
        <v>6.75</v>
      </c>
      <c r="M94" s="21">
        <v>10.125</v>
      </c>
      <c r="N94" s="21">
        <v>4.7250000000000005</v>
      </c>
      <c r="O94" s="21">
        <v>8.7750000000000004</v>
      </c>
    </row>
    <row r="95" spans="1:15" x14ac:dyDescent="0.25">
      <c r="A95" s="35">
        <v>43475</v>
      </c>
      <c r="B95" s="16">
        <v>7</v>
      </c>
      <c r="C95" s="16" t="s">
        <v>69</v>
      </c>
      <c r="D95" s="21">
        <v>46</v>
      </c>
      <c r="E95" s="21">
        <v>9.2000000000000011</v>
      </c>
      <c r="F95" s="21">
        <v>25.3</v>
      </c>
      <c r="G95" s="21">
        <v>11.5</v>
      </c>
      <c r="H95" s="21">
        <v>69</v>
      </c>
      <c r="I95" s="21">
        <v>13.799999999999999</v>
      </c>
      <c r="J95" s="21">
        <v>6.8999999999999995</v>
      </c>
      <c r="K95" s="21">
        <v>37.950000000000003</v>
      </c>
      <c r="L95" s="21">
        <v>6.9</v>
      </c>
      <c r="M95" s="21">
        <v>10.35</v>
      </c>
      <c r="N95" s="21">
        <v>4.83</v>
      </c>
      <c r="O95" s="21">
        <v>8.9700000000000006</v>
      </c>
    </row>
    <row r="96" spans="1:15" x14ac:dyDescent="0.25">
      <c r="A96" s="35">
        <v>43475</v>
      </c>
      <c r="B96" s="16">
        <v>10</v>
      </c>
      <c r="C96" s="16" t="s">
        <v>5</v>
      </c>
      <c r="D96" s="21">
        <v>47</v>
      </c>
      <c r="E96" s="21">
        <v>9.4</v>
      </c>
      <c r="F96" s="21">
        <v>25.85</v>
      </c>
      <c r="G96" s="21">
        <v>11.75</v>
      </c>
      <c r="H96" s="21">
        <v>70.5</v>
      </c>
      <c r="I96" s="21">
        <v>14.1</v>
      </c>
      <c r="J96" s="21">
        <v>7.05</v>
      </c>
      <c r="K96" s="21">
        <v>38.775000000000006</v>
      </c>
      <c r="L96" s="21">
        <v>7.0500000000000007</v>
      </c>
      <c r="M96" s="21">
        <v>10.574999999999999</v>
      </c>
      <c r="N96" s="21">
        <v>4.9350000000000005</v>
      </c>
      <c r="O96" s="21">
        <v>9.1650000000000009</v>
      </c>
    </row>
    <row r="97" spans="1:15" x14ac:dyDescent="0.25">
      <c r="A97" s="35">
        <v>43475</v>
      </c>
      <c r="B97" s="16">
        <v>21</v>
      </c>
      <c r="C97" s="16" t="s">
        <v>81</v>
      </c>
      <c r="D97" s="21">
        <v>41</v>
      </c>
      <c r="E97" s="21">
        <v>8.2000000000000011</v>
      </c>
      <c r="F97" s="21">
        <v>22.55</v>
      </c>
      <c r="G97" s="21">
        <v>10.25</v>
      </c>
      <c r="H97" s="21">
        <v>61.5</v>
      </c>
      <c r="I97" s="21">
        <v>12.299999999999999</v>
      </c>
      <c r="J97" s="21">
        <v>6.1499999999999995</v>
      </c>
      <c r="K97" s="21">
        <v>33.825000000000003</v>
      </c>
      <c r="L97" s="21">
        <v>6.15</v>
      </c>
      <c r="M97" s="21">
        <v>9.2249999999999996</v>
      </c>
      <c r="N97" s="21">
        <v>4.3050000000000006</v>
      </c>
      <c r="O97" s="21">
        <v>7.9950000000000001</v>
      </c>
    </row>
    <row r="98" spans="1:15" x14ac:dyDescent="0.25">
      <c r="A98" s="35">
        <v>43475</v>
      </c>
      <c r="B98" s="16">
        <v>14</v>
      </c>
      <c r="C98" s="16" t="s">
        <v>74</v>
      </c>
      <c r="D98" s="21">
        <v>40</v>
      </c>
      <c r="E98" s="21">
        <v>8</v>
      </c>
      <c r="F98" s="21">
        <v>22</v>
      </c>
      <c r="G98" s="21">
        <v>10</v>
      </c>
      <c r="H98" s="21">
        <v>60</v>
      </c>
      <c r="I98" s="21">
        <v>12</v>
      </c>
      <c r="J98" s="21">
        <v>6</v>
      </c>
      <c r="K98" s="21">
        <v>33</v>
      </c>
      <c r="L98" s="21">
        <v>6</v>
      </c>
      <c r="M98" s="21">
        <v>9</v>
      </c>
      <c r="N98" s="21">
        <v>4.2</v>
      </c>
      <c r="O98" s="21">
        <v>7.8000000000000007</v>
      </c>
    </row>
    <row r="99" spans="1:15" x14ac:dyDescent="0.25">
      <c r="A99" s="35">
        <v>43482</v>
      </c>
      <c r="B99" s="16">
        <v>5</v>
      </c>
      <c r="C99" s="16" t="s">
        <v>6</v>
      </c>
      <c r="D99" s="21">
        <v>50</v>
      </c>
      <c r="E99" s="21">
        <v>10</v>
      </c>
      <c r="F99" s="21">
        <v>27.500000000000004</v>
      </c>
      <c r="G99" s="21">
        <v>12.5</v>
      </c>
      <c r="H99" s="21">
        <v>75</v>
      </c>
      <c r="I99" s="21">
        <v>15</v>
      </c>
      <c r="J99" s="21">
        <v>7.5</v>
      </c>
      <c r="K99" s="21">
        <v>41.25</v>
      </c>
      <c r="L99" s="21">
        <v>7.5</v>
      </c>
      <c r="M99" s="21">
        <v>11.25</v>
      </c>
      <c r="N99" s="21">
        <v>5.2500000000000009</v>
      </c>
      <c r="O99" s="21">
        <v>9.75</v>
      </c>
    </row>
    <row r="100" spans="1:15" x14ac:dyDescent="0.25">
      <c r="A100" s="35">
        <v>43482</v>
      </c>
      <c r="B100" s="16">
        <v>12</v>
      </c>
      <c r="C100" s="16" t="s">
        <v>72</v>
      </c>
      <c r="D100" s="21">
        <v>60</v>
      </c>
      <c r="E100" s="21">
        <v>12</v>
      </c>
      <c r="F100" s="21">
        <v>33</v>
      </c>
      <c r="G100" s="21">
        <v>15</v>
      </c>
      <c r="H100" s="21">
        <v>90</v>
      </c>
      <c r="I100" s="21">
        <v>18</v>
      </c>
      <c r="J100" s="21">
        <v>9</v>
      </c>
      <c r="K100" s="21">
        <v>49.500000000000007</v>
      </c>
      <c r="L100" s="21">
        <v>9</v>
      </c>
      <c r="M100" s="21">
        <v>13.5</v>
      </c>
      <c r="N100" s="21">
        <v>6.3000000000000007</v>
      </c>
      <c r="O100" s="21">
        <v>11.700000000000001</v>
      </c>
    </row>
    <row r="101" spans="1:15" x14ac:dyDescent="0.25">
      <c r="A101" s="35">
        <v>43482</v>
      </c>
      <c r="B101" s="16">
        <v>19</v>
      </c>
      <c r="C101" s="16" t="s">
        <v>79</v>
      </c>
      <c r="D101" s="21">
        <v>40</v>
      </c>
      <c r="E101" s="21">
        <v>8</v>
      </c>
      <c r="F101" s="21">
        <v>22</v>
      </c>
      <c r="G101" s="21">
        <v>10</v>
      </c>
      <c r="H101" s="21">
        <v>60</v>
      </c>
      <c r="I101" s="21">
        <v>12</v>
      </c>
      <c r="J101" s="21">
        <v>6</v>
      </c>
      <c r="K101" s="21">
        <v>33</v>
      </c>
      <c r="L101" s="21">
        <v>6</v>
      </c>
      <c r="M101" s="21">
        <v>9</v>
      </c>
      <c r="N101" s="21">
        <v>4.2</v>
      </c>
      <c r="O101" s="21">
        <v>7.8000000000000007</v>
      </c>
    </row>
    <row r="102" spans="1:15" x14ac:dyDescent="0.25">
      <c r="A102" s="35">
        <v>43482</v>
      </c>
      <c r="B102" s="16">
        <v>17</v>
      </c>
      <c r="C102" s="16" t="s">
        <v>77</v>
      </c>
      <c r="D102" s="21">
        <v>50</v>
      </c>
      <c r="E102" s="21">
        <v>10</v>
      </c>
      <c r="F102" s="21">
        <v>27.500000000000004</v>
      </c>
      <c r="G102" s="21">
        <v>12.5</v>
      </c>
      <c r="H102" s="21">
        <v>75</v>
      </c>
      <c r="I102" s="21">
        <v>15</v>
      </c>
      <c r="J102" s="21">
        <v>7.5</v>
      </c>
      <c r="K102" s="21">
        <v>41.25</v>
      </c>
      <c r="L102" s="21">
        <v>7.5</v>
      </c>
      <c r="M102" s="21">
        <v>11.25</v>
      </c>
      <c r="N102" s="21">
        <v>5.2500000000000009</v>
      </c>
      <c r="O102" s="21">
        <v>9.75</v>
      </c>
    </row>
    <row r="103" spans="1:15" x14ac:dyDescent="0.25">
      <c r="A103" s="35">
        <v>43482</v>
      </c>
      <c r="B103" s="16">
        <v>4</v>
      </c>
      <c r="C103" s="16" t="s">
        <v>67</v>
      </c>
      <c r="D103" s="21">
        <v>60</v>
      </c>
      <c r="E103" s="21">
        <v>12</v>
      </c>
      <c r="F103" s="21">
        <v>33</v>
      </c>
      <c r="G103" s="21">
        <v>15</v>
      </c>
      <c r="H103" s="21">
        <v>90</v>
      </c>
      <c r="I103" s="21">
        <v>18</v>
      </c>
      <c r="J103" s="21">
        <v>9</v>
      </c>
      <c r="K103" s="21">
        <v>49.500000000000007</v>
      </c>
      <c r="L103" s="21">
        <v>9</v>
      </c>
      <c r="M103" s="21">
        <v>13.5</v>
      </c>
      <c r="N103" s="21">
        <v>6.3000000000000007</v>
      </c>
      <c r="O103" s="21">
        <v>11.700000000000001</v>
      </c>
    </row>
    <row r="104" spans="1:15" x14ac:dyDescent="0.25">
      <c r="A104" s="35">
        <v>43473</v>
      </c>
      <c r="B104" s="16">
        <v>16</v>
      </c>
      <c r="C104" s="16" t="s">
        <v>76</v>
      </c>
      <c r="D104" s="21">
        <v>60</v>
      </c>
      <c r="E104" s="21">
        <v>12</v>
      </c>
      <c r="F104" s="21">
        <v>33</v>
      </c>
      <c r="G104" s="21">
        <v>15</v>
      </c>
      <c r="H104" s="21">
        <v>90</v>
      </c>
      <c r="I104" s="21">
        <v>18</v>
      </c>
      <c r="J104" s="21">
        <v>9</v>
      </c>
      <c r="K104" s="21">
        <v>49.500000000000007</v>
      </c>
      <c r="L104" s="21">
        <v>9</v>
      </c>
      <c r="M104" s="21">
        <v>13.5</v>
      </c>
      <c r="N104" s="21">
        <v>6.3000000000000007</v>
      </c>
      <c r="O104" s="21">
        <v>11.700000000000001</v>
      </c>
    </row>
    <row r="105" spans="1:15" x14ac:dyDescent="0.25">
      <c r="A105" s="35">
        <v>43473</v>
      </c>
      <c r="B105" s="16">
        <v>3</v>
      </c>
      <c r="C105" s="16" t="s">
        <v>66</v>
      </c>
      <c r="D105" s="21">
        <v>55</v>
      </c>
      <c r="E105" s="21">
        <v>11</v>
      </c>
      <c r="F105" s="21">
        <v>30.250000000000004</v>
      </c>
      <c r="G105" s="21">
        <v>13.75</v>
      </c>
      <c r="H105" s="21">
        <v>82.5</v>
      </c>
      <c r="I105" s="21">
        <v>16.5</v>
      </c>
      <c r="J105" s="21">
        <v>8.25</v>
      </c>
      <c r="K105" s="21">
        <v>45.375000000000007</v>
      </c>
      <c r="L105" s="21">
        <v>8.25</v>
      </c>
      <c r="M105" s="21">
        <v>12.375</v>
      </c>
      <c r="N105" s="21">
        <v>5.7750000000000004</v>
      </c>
      <c r="O105" s="21">
        <v>10.725</v>
      </c>
    </row>
    <row r="106" spans="1:15" x14ac:dyDescent="0.25">
      <c r="A106" s="35">
        <v>43473</v>
      </c>
      <c r="B106" s="16">
        <v>2</v>
      </c>
      <c r="C106" s="16" t="s">
        <v>65</v>
      </c>
      <c r="D106" s="21">
        <v>45</v>
      </c>
      <c r="E106" s="21">
        <v>9</v>
      </c>
      <c r="F106" s="21">
        <v>24.750000000000004</v>
      </c>
      <c r="G106" s="21">
        <v>11.25</v>
      </c>
      <c r="H106" s="21">
        <v>67.5</v>
      </c>
      <c r="I106" s="21">
        <v>13.5</v>
      </c>
      <c r="J106" s="21">
        <v>6.75</v>
      </c>
      <c r="K106" s="21">
        <v>37.125</v>
      </c>
      <c r="L106" s="21">
        <v>6.75</v>
      </c>
      <c r="M106" s="21">
        <v>10.125</v>
      </c>
      <c r="N106" s="21">
        <v>4.7250000000000005</v>
      </c>
      <c r="O106" s="21">
        <v>8.7750000000000004</v>
      </c>
    </row>
    <row r="107" spans="1:15" x14ac:dyDescent="0.25">
      <c r="A107" s="35">
        <v>43473</v>
      </c>
      <c r="B107" s="16">
        <v>1</v>
      </c>
      <c r="C107" s="16" t="s">
        <v>3</v>
      </c>
      <c r="D107" s="21">
        <v>46</v>
      </c>
      <c r="E107" s="21">
        <v>9.2000000000000011</v>
      </c>
      <c r="F107" s="21">
        <v>25.3</v>
      </c>
      <c r="G107" s="21">
        <v>11.5</v>
      </c>
      <c r="H107" s="21">
        <v>69</v>
      </c>
      <c r="I107" s="21">
        <v>13.799999999999999</v>
      </c>
      <c r="J107" s="21">
        <v>6.8999999999999995</v>
      </c>
      <c r="K107" s="21">
        <v>37.950000000000003</v>
      </c>
      <c r="L107" s="21">
        <v>6.9</v>
      </c>
      <c r="M107" s="21">
        <v>10.35</v>
      </c>
      <c r="N107" s="21">
        <v>4.83</v>
      </c>
      <c r="O107" s="21">
        <v>8.9700000000000006</v>
      </c>
    </row>
    <row r="108" spans="1:15" x14ac:dyDescent="0.25">
      <c r="A108" s="35">
        <v>43473</v>
      </c>
      <c r="B108" s="16">
        <v>18</v>
      </c>
      <c r="C108" s="16" t="s">
        <v>78</v>
      </c>
      <c r="D108" s="21">
        <v>46</v>
      </c>
      <c r="E108" s="21">
        <v>9.2000000000000011</v>
      </c>
      <c r="F108" s="21">
        <v>25.3</v>
      </c>
      <c r="G108" s="21">
        <v>11.5</v>
      </c>
      <c r="H108" s="21">
        <v>69</v>
      </c>
      <c r="I108" s="21">
        <v>13.799999999999999</v>
      </c>
      <c r="J108" s="21">
        <v>6.8999999999999995</v>
      </c>
      <c r="K108" s="21">
        <v>37.950000000000003</v>
      </c>
      <c r="L108" s="21">
        <v>6.9</v>
      </c>
      <c r="M108" s="21">
        <v>10.35</v>
      </c>
      <c r="N108" s="21">
        <v>4.83</v>
      </c>
      <c r="O108" s="21">
        <v>8.9700000000000006</v>
      </c>
    </row>
    <row r="109" spans="1:15" x14ac:dyDescent="0.25">
      <c r="A109" s="35">
        <v>43473</v>
      </c>
      <c r="B109" s="16">
        <v>9</v>
      </c>
      <c r="C109" s="16" t="s">
        <v>70</v>
      </c>
      <c r="D109" s="21">
        <v>42</v>
      </c>
      <c r="E109" s="21">
        <v>8.4</v>
      </c>
      <c r="F109" s="21">
        <v>23.1</v>
      </c>
      <c r="G109" s="21">
        <v>10.5</v>
      </c>
      <c r="H109" s="21">
        <v>63</v>
      </c>
      <c r="I109" s="21">
        <v>12.6</v>
      </c>
      <c r="J109" s="21">
        <v>6.3</v>
      </c>
      <c r="K109" s="21">
        <v>34.650000000000006</v>
      </c>
      <c r="L109" s="21">
        <v>6.3000000000000007</v>
      </c>
      <c r="M109" s="21">
        <v>9.4499999999999993</v>
      </c>
      <c r="N109" s="21">
        <v>4.41</v>
      </c>
      <c r="O109" s="21">
        <v>8.19</v>
      </c>
    </row>
    <row r="110" spans="1:15" x14ac:dyDescent="0.25">
      <c r="A110" s="35">
        <v>43485</v>
      </c>
      <c r="B110" s="16">
        <v>6</v>
      </c>
      <c r="C110" s="16" t="s">
        <v>68</v>
      </c>
      <c r="D110" s="21">
        <v>62</v>
      </c>
      <c r="E110" s="21">
        <v>12.4</v>
      </c>
      <c r="F110" s="21">
        <v>34.1</v>
      </c>
      <c r="G110" s="21">
        <v>15.5</v>
      </c>
      <c r="H110" s="21">
        <v>93</v>
      </c>
      <c r="I110" s="21">
        <v>18.599999999999998</v>
      </c>
      <c r="J110" s="21">
        <v>9.2999999999999989</v>
      </c>
      <c r="K110" s="21">
        <v>51.150000000000006</v>
      </c>
      <c r="L110" s="21">
        <v>9.3000000000000007</v>
      </c>
      <c r="M110" s="21">
        <v>13.95</v>
      </c>
      <c r="N110" s="21">
        <v>6.5100000000000007</v>
      </c>
      <c r="O110" s="21">
        <v>12.09</v>
      </c>
    </row>
    <row r="111" spans="1:15" x14ac:dyDescent="0.25">
      <c r="A111" s="35">
        <v>43486</v>
      </c>
      <c r="B111" s="16">
        <v>15</v>
      </c>
      <c r="C111" s="16" t="s">
        <v>75</v>
      </c>
      <c r="D111" s="21">
        <v>64</v>
      </c>
      <c r="E111" s="21">
        <v>12.8</v>
      </c>
      <c r="F111" s="21">
        <v>35.200000000000003</v>
      </c>
      <c r="G111" s="21">
        <v>16</v>
      </c>
      <c r="H111" s="21">
        <v>96</v>
      </c>
      <c r="I111" s="21">
        <v>19.2</v>
      </c>
      <c r="J111" s="21">
        <v>9.6</v>
      </c>
      <c r="K111" s="21">
        <v>52.800000000000004</v>
      </c>
      <c r="L111" s="21">
        <v>9.6000000000000014</v>
      </c>
      <c r="M111" s="21">
        <v>14.399999999999999</v>
      </c>
      <c r="N111" s="21">
        <v>6.7200000000000006</v>
      </c>
      <c r="O111" s="21">
        <v>12.48</v>
      </c>
    </row>
    <row r="112" spans="1:15" x14ac:dyDescent="0.25">
      <c r="A112" s="35">
        <v>43486</v>
      </c>
      <c r="B112" s="16">
        <v>8</v>
      </c>
      <c r="C112" s="16" t="s">
        <v>4</v>
      </c>
      <c r="D112" s="21">
        <v>68</v>
      </c>
      <c r="E112" s="21">
        <v>13.600000000000001</v>
      </c>
      <c r="F112" s="21">
        <v>37.400000000000006</v>
      </c>
      <c r="G112" s="21">
        <v>17</v>
      </c>
      <c r="H112" s="21">
        <v>102</v>
      </c>
      <c r="I112" s="21">
        <v>20.399999999999999</v>
      </c>
      <c r="J112" s="21">
        <v>10.199999999999999</v>
      </c>
      <c r="K112" s="21">
        <v>56.1</v>
      </c>
      <c r="L112" s="21">
        <v>10.200000000000001</v>
      </c>
      <c r="M112" s="21">
        <v>15.299999999999999</v>
      </c>
      <c r="N112" s="21">
        <v>7.1400000000000006</v>
      </c>
      <c r="O112" s="21">
        <v>13.26</v>
      </c>
    </row>
    <row r="113" spans="1:15" x14ac:dyDescent="0.25">
      <c r="A113" s="35">
        <v>43486</v>
      </c>
      <c r="B113" s="16">
        <v>7</v>
      </c>
      <c r="C113" s="16" t="s">
        <v>69</v>
      </c>
      <c r="D113" s="21">
        <v>70</v>
      </c>
      <c r="E113" s="21">
        <v>14</v>
      </c>
      <c r="F113" s="21">
        <v>38.5</v>
      </c>
      <c r="G113" s="21">
        <v>17.5</v>
      </c>
      <c r="H113" s="21">
        <v>105</v>
      </c>
      <c r="I113" s="21">
        <v>21</v>
      </c>
      <c r="J113" s="21">
        <v>10.5</v>
      </c>
      <c r="K113" s="21">
        <v>57.750000000000007</v>
      </c>
      <c r="L113" s="21">
        <v>10.5</v>
      </c>
      <c r="M113" s="21">
        <v>15.75</v>
      </c>
      <c r="N113" s="21">
        <v>7.3500000000000005</v>
      </c>
      <c r="O113" s="21">
        <v>13.65</v>
      </c>
    </row>
    <row r="114" spans="1:15" x14ac:dyDescent="0.25">
      <c r="A114" s="35">
        <v>43474</v>
      </c>
      <c r="B114" s="16">
        <v>10</v>
      </c>
      <c r="C114" s="16" t="s">
        <v>5</v>
      </c>
      <c r="D114" s="21">
        <v>50</v>
      </c>
      <c r="E114" s="21">
        <v>10</v>
      </c>
      <c r="F114" s="21">
        <v>27.500000000000004</v>
      </c>
      <c r="G114" s="21">
        <v>12.5</v>
      </c>
      <c r="H114" s="21">
        <v>75</v>
      </c>
      <c r="I114" s="21">
        <v>15</v>
      </c>
      <c r="J114" s="21">
        <v>7.5</v>
      </c>
      <c r="K114" s="21">
        <v>41.25</v>
      </c>
      <c r="L114" s="21">
        <v>7.5</v>
      </c>
      <c r="M114" s="21">
        <v>11.25</v>
      </c>
      <c r="N114" s="21">
        <v>5.2500000000000009</v>
      </c>
      <c r="O114" s="21">
        <v>9.75</v>
      </c>
    </row>
    <row r="115" spans="1:15" x14ac:dyDescent="0.25">
      <c r="A115" s="35">
        <v>43474</v>
      </c>
      <c r="B115" s="16">
        <v>21</v>
      </c>
      <c r="C115" s="16" t="s">
        <v>81</v>
      </c>
      <c r="D115" s="21">
        <v>60</v>
      </c>
      <c r="E115" s="21">
        <v>12</v>
      </c>
      <c r="F115" s="21">
        <v>33</v>
      </c>
      <c r="G115" s="21">
        <v>15</v>
      </c>
      <c r="H115" s="21">
        <v>90</v>
      </c>
      <c r="I115" s="21">
        <v>18</v>
      </c>
      <c r="J115" s="21">
        <v>9</v>
      </c>
      <c r="K115" s="21">
        <v>49.500000000000007</v>
      </c>
      <c r="L115" s="21">
        <v>9</v>
      </c>
      <c r="M115" s="21">
        <v>13.5</v>
      </c>
      <c r="N115" s="21">
        <v>6.3000000000000007</v>
      </c>
      <c r="O115" s="21">
        <v>11.700000000000001</v>
      </c>
    </row>
    <row r="116" spans="1:15" x14ac:dyDescent="0.25">
      <c r="A116" s="35">
        <v>43474</v>
      </c>
      <c r="B116" s="16">
        <v>14</v>
      </c>
      <c r="C116" s="16" t="s">
        <v>74</v>
      </c>
      <c r="D116" s="21">
        <v>42</v>
      </c>
      <c r="E116" s="21">
        <v>8.4</v>
      </c>
      <c r="F116" s="21">
        <v>23.1</v>
      </c>
      <c r="G116" s="21">
        <v>10.5</v>
      </c>
      <c r="H116" s="21">
        <v>63</v>
      </c>
      <c r="I116" s="21">
        <v>12.6</v>
      </c>
      <c r="J116" s="21">
        <v>6.3</v>
      </c>
      <c r="K116" s="21">
        <v>34.650000000000006</v>
      </c>
      <c r="L116" s="21">
        <v>6.3000000000000007</v>
      </c>
      <c r="M116" s="21">
        <v>9.4499999999999993</v>
      </c>
      <c r="N116" s="21">
        <v>4.41</v>
      </c>
      <c r="O116" s="21">
        <v>8.19</v>
      </c>
    </row>
    <row r="117" spans="1:15" x14ac:dyDescent="0.25">
      <c r="A117" s="35">
        <v>43474</v>
      </c>
      <c r="B117" s="16">
        <v>5</v>
      </c>
      <c r="C117" s="16" t="s">
        <v>6</v>
      </c>
      <c r="D117" s="21">
        <v>50</v>
      </c>
      <c r="E117" s="21">
        <v>10</v>
      </c>
      <c r="F117" s="21">
        <v>27.500000000000004</v>
      </c>
      <c r="G117" s="21">
        <v>12.5</v>
      </c>
      <c r="H117" s="21">
        <v>75</v>
      </c>
      <c r="I117" s="21">
        <v>15</v>
      </c>
      <c r="J117" s="21">
        <v>7.5</v>
      </c>
      <c r="K117" s="21">
        <v>41.25</v>
      </c>
      <c r="L117" s="21">
        <v>7.5</v>
      </c>
      <c r="M117" s="21">
        <v>11.25</v>
      </c>
      <c r="N117" s="21">
        <v>5.2500000000000009</v>
      </c>
      <c r="O117" s="21">
        <v>9.75</v>
      </c>
    </row>
    <row r="118" spans="1:15" x14ac:dyDescent="0.25">
      <c r="A118" s="35">
        <v>43474</v>
      </c>
      <c r="B118" s="16">
        <v>12</v>
      </c>
      <c r="C118" s="16" t="s">
        <v>72</v>
      </c>
      <c r="D118" s="21">
        <v>30</v>
      </c>
      <c r="E118" s="21">
        <v>6</v>
      </c>
      <c r="F118" s="21">
        <v>16.5</v>
      </c>
      <c r="G118" s="21">
        <v>7.5</v>
      </c>
      <c r="H118" s="21">
        <v>45</v>
      </c>
      <c r="I118" s="21">
        <v>9</v>
      </c>
      <c r="J118" s="21">
        <v>4.5</v>
      </c>
      <c r="K118" s="21">
        <v>24.750000000000004</v>
      </c>
      <c r="L118" s="21">
        <v>4.5</v>
      </c>
      <c r="M118" s="21">
        <v>6.75</v>
      </c>
      <c r="N118" s="21">
        <v>3.1500000000000004</v>
      </c>
      <c r="O118" s="21">
        <v>5.8500000000000005</v>
      </c>
    </row>
    <row r="119" spans="1:15" x14ac:dyDescent="0.25">
      <c r="A119" s="35">
        <v>43486</v>
      </c>
      <c r="B119" s="16">
        <v>19</v>
      </c>
      <c r="C119" s="16" t="s">
        <v>79</v>
      </c>
      <c r="D119" s="21">
        <v>40</v>
      </c>
      <c r="E119" s="21">
        <v>8</v>
      </c>
      <c r="F119" s="21">
        <v>22</v>
      </c>
      <c r="G119" s="21">
        <v>10</v>
      </c>
      <c r="H119" s="21">
        <v>60</v>
      </c>
      <c r="I119" s="21">
        <v>12</v>
      </c>
      <c r="J119" s="21">
        <v>6</v>
      </c>
      <c r="K119" s="21">
        <v>33</v>
      </c>
      <c r="L119" s="21">
        <v>6</v>
      </c>
      <c r="M119" s="21">
        <v>9</v>
      </c>
      <c r="N119" s="21">
        <v>4.2</v>
      </c>
      <c r="O119" s="21">
        <v>7.8000000000000007</v>
      </c>
    </row>
    <row r="120" spans="1:15" x14ac:dyDescent="0.25">
      <c r="A120" s="35">
        <v>43482</v>
      </c>
      <c r="B120" s="16">
        <v>17</v>
      </c>
      <c r="C120" s="16" t="s">
        <v>77</v>
      </c>
      <c r="D120" s="21">
        <v>50</v>
      </c>
      <c r="E120" s="21">
        <v>10</v>
      </c>
      <c r="F120" s="21">
        <v>27.500000000000004</v>
      </c>
      <c r="G120" s="21">
        <v>12.5</v>
      </c>
      <c r="H120" s="21">
        <v>75</v>
      </c>
      <c r="I120" s="21">
        <v>15</v>
      </c>
      <c r="J120" s="21">
        <v>7.5</v>
      </c>
      <c r="K120" s="21">
        <v>41.25</v>
      </c>
      <c r="L120" s="21">
        <v>7.5</v>
      </c>
      <c r="M120" s="21">
        <v>11.25</v>
      </c>
      <c r="N120" s="21">
        <v>5.2500000000000009</v>
      </c>
      <c r="O120" s="21">
        <v>9.75</v>
      </c>
    </row>
    <row r="121" spans="1:15" x14ac:dyDescent="0.25">
      <c r="A121" s="35">
        <v>43483</v>
      </c>
      <c r="B121" s="16">
        <v>13</v>
      </c>
      <c r="C121" s="16" t="s">
        <v>73</v>
      </c>
      <c r="D121" s="21">
        <v>60</v>
      </c>
      <c r="E121" s="21">
        <v>12</v>
      </c>
      <c r="F121" s="21">
        <v>33</v>
      </c>
      <c r="G121" s="21">
        <v>15</v>
      </c>
      <c r="H121" s="21">
        <v>90</v>
      </c>
      <c r="I121" s="21">
        <v>18</v>
      </c>
      <c r="J121" s="21">
        <v>9</v>
      </c>
      <c r="K121" s="21">
        <v>49.500000000000007</v>
      </c>
      <c r="L121" s="21">
        <v>9</v>
      </c>
      <c r="M121" s="21">
        <v>13.5</v>
      </c>
      <c r="N121" s="21">
        <v>6.3000000000000007</v>
      </c>
      <c r="O121" s="21">
        <v>11.700000000000001</v>
      </c>
    </row>
    <row r="122" spans="1:15" x14ac:dyDescent="0.25">
      <c r="A122" s="35">
        <v>43483</v>
      </c>
      <c r="B122" s="16">
        <v>20</v>
      </c>
      <c r="C122" s="16" t="s">
        <v>80</v>
      </c>
      <c r="D122" s="21">
        <v>40</v>
      </c>
      <c r="E122" s="21">
        <v>8</v>
      </c>
      <c r="F122" s="21">
        <v>22</v>
      </c>
      <c r="G122" s="21">
        <v>10</v>
      </c>
      <c r="H122" s="21">
        <v>60</v>
      </c>
      <c r="I122" s="21">
        <v>12</v>
      </c>
      <c r="J122" s="21">
        <v>6</v>
      </c>
      <c r="K122" s="21">
        <v>33</v>
      </c>
      <c r="L122" s="21">
        <v>6</v>
      </c>
      <c r="M122" s="21">
        <v>9</v>
      </c>
      <c r="N122" s="21">
        <v>4.2</v>
      </c>
      <c r="O122" s="21">
        <v>7.8000000000000007</v>
      </c>
    </row>
    <row r="123" spans="1:15" x14ac:dyDescent="0.25">
      <c r="A123" s="35">
        <v>43483</v>
      </c>
      <c r="B123" s="16">
        <v>11</v>
      </c>
      <c r="C123" s="16" t="s">
        <v>71</v>
      </c>
      <c r="D123" s="21">
        <v>40</v>
      </c>
      <c r="E123" s="21">
        <v>8</v>
      </c>
      <c r="F123" s="21">
        <v>22</v>
      </c>
      <c r="G123" s="21">
        <v>10</v>
      </c>
      <c r="H123" s="21">
        <v>60</v>
      </c>
      <c r="I123" s="21">
        <v>12</v>
      </c>
      <c r="J123" s="21">
        <v>6</v>
      </c>
      <c r="K123" s="21">
        <v>33</v>
      </c>
      <c r="L123" s="21">
        <v>6</v>
      </c>
      <c r="M123" s="21">
        <v>9</v>
      </c>
      <c r="N123" s="21">
        <v>4.2</v>
      </c>
      <c r="O123" s="21">
        <v>7.8000000000000007</v>
      </c>
    </row>
    <row r="124" spans="1:15" x14ac:dyDescent="0.25">
      <c r="A124" s="35">
        <v>43483</v>
      </c>
      <c r="B124" s="16">
        <v>4</v>
      </c>
      <c r="C124" s="16" t="s">
        <v>67</v>
      </c>
      <c r="D124" s="21">
        <v>50</v>
      </c>
      <c r="E124" s="21">
        <v>10</v>
      </c>
      <c r="F124" s="21">
        <v>27.500000000000004</v>
      </c>
      <c r="G124" s="21">
        <v>12.5</v>
      </c>
      <c r="H124" s="21">
        <v>75</v>
      </c>
      <c r="I124" s="21">
        <v>15</v>
      </c>
      <c r="J124" s="21">
        <v>7.5</v>
      </c>
      <c r="K124" s="21">
        <v>41.25</v>
      </c>
      <c r="L124" s="21">
        <v>7.5</v>
      </c>
      <c r="M124" s="21">
        <v>11.25</v>
      </c>
      <c r="N124" s="21">
        <v>5.2500000000000009</v>
      </c>
      <c r="O124" s="21">
        <v>9.75</v>
      </c>
    </row>
    <row r="125" spans="1:15" x14ac:dyDescent="0.25">
      <c r="A125" s="35">
        <v>43488</v>
      </c>
      <c r="B125" s="16">
        <v>16</v>
      </c>
      <c r="C125" s="16" t="s">
        <v>76</v>
      </c>
      <c r="D125" s="21">
        <v>60</v>
      </c>
      <c r="E125" s="21">
        <v>12</v>
      </c>
      <c r="F125" s="21">
        <v>33</v>
      </c>
      <c r="G125" s="21">
        <v>15</v>
      </c>
      <c r="H125" s="21">
        <v>90</v>
      </c>
      <c r="I125" s="21">
        <v>18</v>
      </c>
      <c r="J125" s="21">
        <v>9</v>
      </c>
      <c r="K125" s="21">
        <v>49.500000000000007</v>
      </c>
      <c r="L125" s="21">
        <v>9</v>
      </c>
      <c r="M125" s="21">
        <v>13.5</v>
      </c>
      <c r="N125" s="21">
        <v>6.3000000000000007</v>
      </c>
      <c r="O125" s="21">
        <v>11.700000000000001</v>
      </c>
    </row>
    <row r="126" spans="1:15" x14ac:dyDescent="0.25">
      <c r="A126" s="35">
        <v>43488</v>
      </c>
      <c r="B126" s="16">
        <v>3</v>
      </c>
      <c r="C126" s="16" t="s">
        <v>66</v>
      </c>
      <c r="D126" s="21">
        <v>22</v>
      </c>
      <c r="E126" s="21">
        <v>4.4000000000000004</v>
      </c>
      <c r="F126" s="21">
        <v>12.100000000000001</v>
      </c>
      <c r="G126" s="21">
        <v>5.5</v>
      </c>
      <c r="H126" s="21">
        <v>33</v>
      </c>
      <c r="I126" s="21">
        <v>6.6</v>
      </c>
      <c r="J126" s="21">
        <v>3.3</v>
      </c>
      <c r="K126" s="21">
        <v>18.150000000000002</v>
      </c>
      <c r="L126" s="21">
        <v>3.3000000000000003</v>
      </c>
      <c r="M126" s="21">
        <v>4.95</v>
      </c>
      <c r="N126" s="21">
        <v>2.31</v>
      </c>
      <c r="O126" s="21">
        <v>4.29</v>
      </c>
    </row>
    <row r="127" spans="1:15" x14ac:dyDescent="0.25">
      <c r="A127" s="35">
        <v>43483</v>
      </c>
      <c r="B127" s="16">
        <v>2</v>
      </c>
      <c r="C127" s="16" t="s">
        <v>65</v>
      </c>
      <c r="D127" s="21">
        <v>65</v>
      </c>
      <c r="E127" s="21">
        <v>13</v>
      </c>
      <c r="F127" s="21">
        <v>35.75</v>
      </c>
      <c r="G127" s="21">
        <v>16.25</v>
      </c>
      <c r="H127" s="21">
        <v>97.5</v>
      </c>
      <c r="I127" s="21">
        <v>19.5</v>
      </c>
      <c r="J127" s="21">
        <v>9.75</v>
      </c>
      <c r="K127" s="21">
        <v>53.625000000000007</v>
      </c>
      <c r="L127" s="21">
        <v>9.75</v>
      </c>
      <c r="M127" s="21">
        <v>14.625</v>
      </c>
      <c r="N127" s="21">
        <v>6.8250000000000011</v>
      </c>
      <c r="O127" s="21">
        <v>12.675000000000001</v>
      </c>
    </row>
    <row r="128" spans="1:15" x14ac:dyDescent="0.25">
      <c r="A128" s="35">
        <v>43476</v>
      </c>
      <c r="B128" s="16">
        <v>1</v>
      </c>
      <c r="C128" s="16" t="s">
        <v>3</v>
      </c>
      <c r="D128" s="21">
        <v>65</v>
      </c>
      <c r="E128" s="21">
        <v>13</v>
      </c>
      <c r="F128" s="21">
        <v>35.75</v>
      </c>
      <c r="G128" s="21">
        <v>16.25</v>
      </c>
      <c r="H128" s="21">
        <v>97.5</v>
      </c>
      <c r="I128" s="21">
        <v>19.5</v>
      </c>
      <c r="J128" s="21">
        <v>9.75</v>
      </c>
      <c r="K128" s="21">
        <v>53.625000000000007</v>
      </c>
      <c r="L128" s="21">
        <v>9.75</v>
      </c>
      <c r="M128" s="21">
        <v>14.625</v>
      </c>
      <c r="N128" s="21">
        <v>6.8250000000000011</v>
      </c>
      <c r="O128" s="21">
        <v>12.675000000000001</v>
      </c>
    </row>
    <row r="129" spans="1:15" x14ac:dyDescent="0.25">
      <c r="A129" s="35">
        <v>43477</v>
      </c>
      <c r="B129" s="16">
        <v>18</v>
      </c>
      <c r="C129" s="16" t="s">
        <v>78</v>
      </c>
      <c r="D129" s="21">
        <v>65</v>
      </c>
      <c r="E129" s="21">
        <v>13</v>
      </c>
      <c r="F129" s="21">
        <v>35.75</v>
      </c>
      <c r="G129" s="21">
        <v>16.25</v>
      </c>
      <c r="H129" s="21">
        <v>97.5</v>
      </c>
      <c r="I129" s="21">
        <v>19.5</v>
      </c>
      <c r="J129" s="21">
        <v>9.75</v>
      </c>
      <c r="K129" s="21">
        <v>53.625000000000007</v>
      </c>
      <c r="L129" s="21">
        <v>9.75</v>
      </c>
      <c r="M129" s="21">
        <v>14.625</v>
      </c>
      <c r="N129" s="21">
        <v>6.8250000000000011</v>
      </c>
      <c r="O129" s="21">
        <v>12.675000000000001</v>
      </c>
    </row>
    <row r="130" spans="1:15" x14ac:dyDescent="0.25">
      <c r="A130" s="35">
        <v>43477</v>
      </c>
      <c r="B130" s="16">
        <v>9</v>
      </c>
      <c r="C130" s="16" t="s">
        <v>70</v>
      </c>
      <c r="D130" s="21">
        <v>44</v>
      </c>
      <c r="E130" s="21">
        <v>8.8000000000000007</v>
      </c>
      <c r="F130" s="21">
        <v>24.200000000000003</v>
      </c>
      <c r="G130" s="21">
        <v>11</v>
      </c>
      <c r="H130" s="21">
        <v>66</v>
      </c>
      <c r="I130" s="21">
        <v>13.2</v>
      </c>
      <c r="J130" s="21">
        <v>6.6</v>
      </c>
      <c r="K130" s="21">
        <v>36.300000000000004</v>
      </c>
      <c r="L130" s="21">
        <v>6.6000000000000005</v>
      </c>
      <c r="M130" s="21">
        <v>9.9</v>
      </c>
      <c r="N130" s="21">
        <v>4.62</v>
      </c>
      <c r="O130" s="21">
        <v>8.58</v>
      </c>
    </row>
    <row r="131" spans="1:15" x14ac:dyDescent="0.25">
      <c r="A131" s="35">
        <v>43490</v>
      </c>
      <c r="B131" s="16">
        <v>6</v>
      </c>
      <c r="C131" s="16" t="s">
        <v>68</v>
      </c>
      <c r="D131" s="21">
        <v>52</v>
      </c>
      <c r="E131" s="21">
        <v>10.4</v>
      </c>
      <c r="F131" s="21">
        <v>28.6</v>
      </c>
      <c r="G131" s="21">
        <v>13</v>
      </c>
      <c r="H131" s="21">
        <v>78</v>
      </c>
      <c r="I131" s="21">
        <v>15.6</v>
      </c>
      <c r="J131" s="21">
        <v>7.8</v>
      </c>
      <c r="K131" s="21">
        <v>42.900000000000006</v>
      </c>
      <c r="L131" s="21">
        <v>7.8000000000000007</v>
      </c>
      <c r="M131" s="21">
        <v>11.7</v>
      </c>
      <c r="N131" s="21">
        <v>5.4600000000000009</v>
      </c>
      <c r="O131" s="21">
        <v>10.14</v>
      </c>
    </row>
    <row r="132" spans="1:15" x14ac:dyDescent="0.25">
      <c r="A132" s="35">
        <v>43479</v>
      </c>
      <c r="B132" s="16">
        <v>15</v>
      </c>
      <c r="C132" s="16" t="s">
        <v>75</v>
      </c>
      <c r="D132" s="21">
        <v>45</v>
      </c>
      <c r="E132" s="21">
        <v>9</v>
      </c>
      <c r="F132" s="21">
        <v>24.750000000000004</v>
      </c>
      <c r="G132" s="21">
        <v>11.25</v>
      </c>
      <c r="H132" s="21">
        <v>67.5</v>
      </c>
      <c r="I132" s="21">
        <v>13.5</v>
      </c>
      <c r="J132" s="21">
        <v>6.75</v>
      </c>
      <c r="K132" s="21">
        <v>37.125</v>
      </c>
      <c r="L132" s="21">
        <v>6.75</v>
      </c>
      <c r="M132" s="21">
        <v>10.125</v>
      </c>
      <c r="N132" s="21">
        <v>4.7250000000000005</v>
      </c>
      <c r="O132" s="21">
        <v>8.7750000000000004</v>
      </c>
    </row>
    <row r="133" spans="1:15" x14ac:dyDescent="0.25">
      <c r="A133" s="35">
        <v>43479</v>
      </c>
      <c r="B133" s="16">
        <v>8</v>
      </c>
      <c r="C133" s="16" t="s">
        <v>4</v>
      </c>
      <c r="D133" s="21">
        <v>45</v>
      </c>
      <c r="E133" s="21">
        <v>9</v>
      </c>
      <c r="F133" s="21">
        <v>24.750000000000004</v>
      </c>
      <c r="G133" s="21">
        <v>11.25</v>
      </c>
      <c r="H133" s="21">
        <v>67.5</v>
      </c>
      <c r="I133" s="21">
        <v>13.5</v>
      </c>
      <c r="J133" s="21">
        <v>6.75</v>
      </c>
      <c r="K133" s="21">
        <v>37.125</v>
      </c>
      <c r="L133" s="21">
        <v>6.75</v>
      </c>
      <c r="M133" s="21">
        <v>10.125</v>
      </c>
      <c r="N133" s="21">
        <v>4.7250000000000005</v>
      </c>
      <c r="O133" s="21">
        <v>8.7750000000000004</v>
      </c>
    </row>
    <row r="134" spans="1:15" x14ac:dyDescent="0.25">
      <c r="A134" s="35">
        <v>43490</v>
      </c>
      <c r="B134" s="16">
        <v>7</v>
      </c>
      <c r="C134" s="16" t="s">
        <v>69</v>
      </c>
      <c r="D134" s="21">
        <v>65</v>
      </c>
      <c r="E134" s="21">
        <v>13</v>
      </c>
      <c r="F134" s="21">
        <v>35.75</v>
      </c>
      <c r="G134" s="21">
        <v>16.25</v>
      </c>
      <c r="H134" s="21">
        <v>97.5</v>
      </c>
      <c r="I134" s="21">
        <v>19.5</v>
      </c>
      <c r="J134" s="21">
        <v>9.75</v>
      </c>
      <c r="K134" s="21">
        <v>53.625000000000007</v>
      </c>
      <c r="L134" s="21">
        <v>9.75</v>
      </c>
      <c r="M134" s="21">
        <v>14.625</v>
      </c>
      <c r="N134" s="21">
        <v>6.8250000000000011</v>
      </c>
      <c r="O134" s="21">
        <v>12.675000000000001</v>
      </c>
    </row>
    <row r="135" spans="1:15" x14ac:dyDescent="0.25">
      <c r="A135" s="35">
        <v>43493</v>
      </c>
      <c r="B135" s="16">
        <v>10</v>
      </c>
      <c r="C135" s="16" t="s">
        <v>5</v>
      </c>
      <c r="D135" s="21">
        <v>20</v>
      </c>
      <c r="E135" s="21">
        <v>4</v>
      </c>
      <c r="F135" s="21">
        <v>11</v>
      </c>
      <c r="G135" s="21">
        <v>5</v>
      </c>
      <c r="H135" s="21">
        <v>30</v>
      </c>
      <c r="I135" s="21">
        <v>6</v>
      </c>
      <c r="J135" s="21">
        <v>3</v>
      </c>
      <c r="K135" s="21">
        <v>16.5</v>
      </c>
      <c r="L135" s="21">
        <v>3</v>
      </c>
      <c r="M135" s="21">
        <v>4.5</v>
      </c>
      <c r="N135" s="21">
        <v>2.1</v>
      </c>
      <c r="O135" s="21">
        <v>3.9000000000000004</v>
      </c>
    </row>
    <row r="136" spans="1:15" x14ac:dyDescent="0.25">
      <c r="A136" s="35">
        <v>43494</v>
      </c>
      <c r="B136" s="16">
        <v>21</v>
      </c>
      <c r="C136" s="16" t="s">
        <v>81</v>
      </c>
      <c r="D136" s="21">
        <v>30</v>
      </c>
      <c r="E136" s="21">
        <v>6</v>
      </c>
      <c r="F136" s="21">
        <v>16.5</v>
      </c>
      <c r="G136" s="21">
        <v>7.5</v>
      </c>
      <c r="H136" s="21">
        <v>45</v>
      </c>
      <c r="I136" s="21">
        <v>9</v>
      </c>
      <c r="J136" s="21">
        <v>4.5</v>
      </c>
      <c r="K136" s="21">
        <v>24.750000000000004</v>
      </c>
      <c r="L136" s="21">
        <v>4.5</v>
      </c>
      <c r="M136" s="21">
        <v>6.75</v>
      </c>
      <c r="N136" s="21">
        <v>3.1500000000000004</v>
      </c>
      <c r="O136" s="21">
        <v>5.8500000000000005</v>
      </c>
    </row>
    <row r="137" spans="1:15" x14ac:dyDescent="0.25">
      <c r="A137" s="35">
        <v>43475</v>
      </c>
      <c r="B137" s="16">
        <v>14</v>
      </c>
      <c r="C137" s="16" t="s">
        <v>74</v>
      </c>
      <c r="D137" s="21">
        <v>50</v>
      </c>
      <c r="E137" s="21">
        <v>10</v>
      </c>
      <c r="F137" s="21">
        <v>27.500000000000004</v>
      </c>
      <c r="G137" s="21">
        <v>12.5</v>
      </c>
      <c r="H137" s="21">
        <v>75</v>
      </c>
      <c r="I137" s="21">
        <v>15</v>
      </c>
      <c r="J137" s="21">
        <v>7.5</v>
      </c>
      <c r="K137" s="21">
        <v>41.25</v>
      </c>
      <c r="L137" s="21">
        <v>7.5</v>
      </c>
      <c r="M137" s="21">
        <v>11.25</v>
      </c>
      <c r="N137" s="21">
        <v>5.2500000000000009</v>
      </c>
      <c r="O137" s="21">
        <v>9.75</v>
      </c>
    </row>
    <row r="138" spans="1:15" x14ac:dyDescent="0.25">
      <c r="A138" s="35">
        <v>43475</v>
      </c>
      <c r="B138" s="16">
        <v>5</v>
      </c>
      <c r="C138" s="16" t="s">
        <v>6</v>
      </c>
      <c r="D138" s="21">
        <v>46</v>
      </c>
      <c r="E138" s="21">
        <v>9.2000000000000011</v>
      </c>
      <c r="F138" s="21">
        <v>25.3</v>
      </c>
      <c r="G138" s="21">
        <v>11.5</v>
      </c>
      <c r="H138" s="21">
        <v>69</v>
      </c>
      <c r="I138" s="21">
        <v>13.799999999999999</v>
      </c>
      <c r="J138" s="21">
        <v>6.8999999999999995</v>
      </c>
      <c r="K138" s="21">
        <v>37.950000000000003</v>
      </c>
      <c r="L138" s="21">
        <v>6.9</v>
      </c>
      <c r="M138" s="21">
        <v>10.35</v>
      </c>
      <c r="N138" s="21">
        <v>4.83</v>
      </c>
      <c r="O138" s="21">
        <v>8.9700000000000006</v>
      </c>
    </row>
    <row r="139" spans="1:15" x14ac:dyDescent="0.25">
      <c r="A139" s="35">
        <v>43475</v>
      </c>
      <c r="B139" s="16">
        <v>12</v>
      </c>
      <c r="C139" s="16" t="s">
        <v>72</v>
      </c>
      <c r="D139" s="21">
        <v>45</v>
      </c>
      <c r="E139" s="21">
        <v>9</v>
      </c>
      <c r="F139" s="21">
        <v>24.750000000000004</v>
      </c>
      <c r="G139" s="21">
        <v>11.25</v>
      </c>
      <c r="H139" s="21">
        <v>67.5</v>
      </c>
      <c r="I139" s="21">
        <v>13.5</v>
      </c>
      <c r="J139" s="21">
        <v>6.75</v>
      </c>
      <c r="K139" s="21">
        <v>37.125</v>
      </c>
      <c r="L139" s="21">
        <v>6.75</v>
      </c>
      <c r="M139" s="21">
        <v>10.125</v>
      </c>
      <c r="N139" s="21">
        <v>4.7250000000000005</v>
      </c>
      <c r="O139" s="21">
        <v>8.7750000000000004</v>
      </c>
    </row>
    <row r="140" spans="1:15" x14ac:dyDescent="0.25">
      <c r="A140" s="35">
        <v>43475</v>
      </c>
      <c r="B140" s="16">
        <v>19</v>
      </c>
      <c r="C140" s="16" t="s">
        <v>79</v>
      </c>
      <c r="D140" s="21">
        <v>45</v>
      </c>
      <c r="E140" s="21">
        <v>9</v>
      </c>
      <c r="F140" s="21">
        <v>24.750000000000004</v>
      </c>
      <c r="G140" s="21">
        <v>11.25</v>
      </c>
      <c r="H140" s="21">
        <v>67.5</v>
      </c>
      <c r="I140" s="21">
        <v>13.5</v>
      </c>
      <c r="J140" s="21">
        <v>6.75</v>
      </c>
      <c r="K140" s="21">
        <v>37.125</v>
      </c>
      <c r="L140" s="21">
        <v>6.75</v>
      </c>
      <c r="M140" s="21">
        <v>10.125</v>
      </c>
      <c r="N140" s="21">
        <v>4.7250000000000005</v>
      </c>
      <c r="O140" s="21">
        <v>8.7750000000000004</v>
      </c>
    </row>
    <row r="141" spans="1:15" x14ac:dyDescent="0.25">
      <c r="A141" s="35">
        <v>43475</v>
      </c>
      <c r="B141" s="16">
        <v>17</v>
      </c>
      <c r="C141" s="16" t="s">
        <v>77</v>
      </c>
      <c r="D141" s="21">
        <v>50</v>
      </c>
      <c r="E141" s="21">
        <v>10</v>
      </c>
      <c r="F141" s="21">
        <v>27.500000000000004</v>
      </c>
      <c r="G141" s="21">
        <v>12.5</v>
      </c>
      <c r="H141" s="21">
        <v>75</v>
      </c>
      <c r="I141" s="21">
        <v>15</v>
      </c>
      <c r="J141" s="21">
        <v>7.5</v>
      </c>
      <c r="K141" s="21">
        <v>41.25</v>
      </c>
      <c r="L141" s="21">
        <v>7.5</v>
      </c>
      <c r="M141" s="21">
        <v>11.25</v>
      </c>
      <c r="N141" s="21">
        <v>5.2500000000000009</v>
      </c>
      <c r="O141" s="21">
        <v>9.75</v>
      </c>
    </row>
    <row r="142" spans="1:15" x14ac:dyDescent="0.25">
      <c r="A142" s="35">
        <v>43495</v>
      </c>
      <c r="B142" s="16">
        <v>13</v>
      </c>
      <c r="C142" s="16" t="s">
        <v>73</v>
      </c>
      <c r="D142" s="21">
        <v>45</v>
      </c>
      <c r="E142" s="21">
        <v>9</v>
      </c>
      <c r="F142" s="21">
        <v>24.750000000000004</v>
      </c>
      <c r="G142" s="21">
        <v>11.25</v>
      </c>
      <c r="H142" s="21">
        <v>67.5</v>
      </c>
      <c r="I142" s="21">
        <v>13.5</v>
      </c>
      <c r="J142" s="21">
        <v>6.75</v>
      </c>
      <c r="K142" s="21">
        <v>37.125</v>
      </c>
      <c r="L142" s="21">
        <v>6.75</v>
      </c>
      <c r="M142" s="21">
        <v>10.125</v>
      </c>
      <c r="N142" s="21">
        <v>4.7250000000000005</v>
      </c>
      <c r="O142" s="21">
        <v>8.7750000000000004</v>
      </c>
    </row>
    <row r="143" spans="1:15" x14ac:dyDescent="0.25">
      <c r="A143" s="35">
        <v>43495</v>
      </c>
      <c r="B143" s="16">
        <v>20</v>
      </c>
      <c r="C143" s="16" t="s">
        <v>80</v>
      </c>
      <c r="D143" s="21">
        <v>45</v>
      </c>
      <c r="E143" s="21">
        <v>9</v>
      </c>
      <c r="F143" s="21">
        <v>24.750000000000004</v>
      </c>
      <c r="G143" s="21">
        <v>11.25</v>
      </c>
      <c r="H143" s="21">
        <v>67.5</v>
      </c>
      <c r="I143" s="21">
        <v>13.5</v>
      </c>
      <c r="J143" s="21">
        <v>6.75</v>
      </c>
      <c r="K143" s="21">
        <v>37.125</v>
      </c>
      <c r="L143" s="21">
        <v>6.75</v>
      </c>
      <c r="M143" s="21">
        <v>10.125</v>
      </c>
      <c r="N143" s="21">
        <v>4.7250000000000005</v>
      </c>
      <c r="O143" s="21">
        <v>8.7750000000000004</v>
      </c>
    </row>
    <row r="144" spans="1:15" x14ac:dyDescent="0.25">
      <c r="A144" s="35">
        <v>43484</v>
      </c>
      <c r="B144" s="16">
        <v>4</v>
      </c>
      <c r="C144" s="16" t="s">
        <v>67</v>
      </c>
      <c r="D144" s="21">
        <v>65</v>
      </c>
      <c r="E144" s="21">
        <v>13</v>
      </c>
      <c r="F144" s="21">
        <v>35.75</v>
      </c>
      <c r="G144" s="21">
        <v>16.25</v>
      </c>
      <c r="H144" s="21">
        <v>97.5</v>
      </c>
      <c r="I144" s="21">
        <v>19.5</v>
      </c>
      <c r="J144" s="21">
        <v>9.75</v>
      </c>
      <c r="K144" s="21">
        <v>53.625000000000007</v>
      </c>
      <c r="L144" s="21">
        <v>9.75</v>
      </c>
      <c r="M144" s="21">
        <v>14.625</v>
      </c>
      <c r="N144" s="21">
        <v>6.8250000000000011</v>
      </c>
      <c r="O144" s="21">
        <v>12.675000000000001</v>
      </c>
    </row>
    <row r="145" spans="1:15" x14ac:dyDescent="0.25">
      <c r="A145" s="35">
        <v>43484</v>
      </c>
      <c r="B145" s="16">
        <v>16</v>
      </c>
      <c r="C145" s="16" t="s">
        <v>76</v>
      </c>
      <c r="D145" s="21">
        <v>55</v>
      </c>
      <c r="E145" s="21">
        <v>11</v>
      </c>
      <c r="F145" s="21">
        <v>30.250000000000004</v>
      </c>
      <c r="G145" s="21">
        <v>13.75</v>
      </c>
      <c r="H145" s="21">
        <v>82.5</v>
      </c>
      <c r="I145" s="21">
        <v>16.5</v>
      </c>
      <c r="J145" s="21">
        <v>8.25</v>
      </c>
      <c r="K145" s="21">
        <v>45.375000000000007</v>
      </c>
      <c r="L145" s="21">
        <v>8.25</v>
      </c>
      <c r="M145" s="21">
        <v>12.375</v>
      </c>
      <c r="N145" s="21">
        <v>5.7750000000000004</v>
      </c>
      <c r="O145" s="21">
        <v>10.725</v>
      </c>
    </row>
    <row r="146" spans="1:15" x14ac:dyDescent="0.25">
      <c r="A146" s="35">
        <v>43495</v>
      </c>
      <c r="B146" s="16">
        <v>3</v>
      </c>
      <c r="C146" s="16" t="s">
        <v>66</v>
      </c>
      <c r="D146" s="21">
        <v>65</v>
      </c>
      <c r="E146" s="21">
        <v>13</v>
      </c>
      <c r="F146" s="21">
        <v>35.75</v>
      </c>
      <c r="G146" s="21">
        <v>16.25</v>
      </c>
      <c r="H146" s="21">
        <v>97.5</v>
      </c>
      <c r="I146" s="21">
        <v>19.5</v>
      </c>
      <c r="J146" s="21">
        <v>9.75</v>
      </c>
      <c r="K146" s="21">
        <v>53.625000000000007</v>
      </c>
      <c r="L146" s="21">
        <v>9.75</v>
      </c>
      <c r="M146" s="21">
        <v>14.625</v>
      </c>
      <c r="N146" s="21">
        <v>6.8250000000000011</v>
      </c>
      <c r="O146" s="21">
        <v>12.675000000000001</v>
      </c>
    </row>
    <row r="147" spans="1:15" x14ac:dyDescent="0.25">
      <c r="A147" s="35">
        <v>43486</v>
      </c>
      <c r="B147" s="16">
        <v>2</v>
      </c>
      <c r="C147" s="16" t="s">
        <v>65</v>
      </c>
      <c r="D147" s="21">
        <v>45</v>
      </c>
      <c r="E147" s="21">
        <v>9</v>
      </c>
      <c r="F147" s="21">
        <v>24.750000000000004</v>
      </c>
      <c r="G147" s="21">
        <v>11.25</v>
      </c>
      <c r="H147" s="21">
        <v>67.5</v>
      </c>
      <c r="I147" s="21">
        <v>13.5</v>
      </c>
      <c r="J147" s="21">
        <v>6.75</v>
      </c>
      <c r="K147" s="21">
        <v>37.125</v>
      </c>
      <c r="L147" s="21">
        <v>6.75</v>
      </c>
      <c r="M147" s="21">
        <v>10.125</v>
      </c>
      <c r="N147" s="21">
        <v>4.7250000000000005</v>
      </c>
      <c r="O147" s="21">
        <v>8.7750000000000004</v>
      </c>
    </row>
    <row r="148" spans="1:15" x14ac:dyDescent="0.25">
      <c r="A148" s="35">
        <v>43486</v>
      </c>
      <c r="B148" s="16">
        <v>1</v>
      </c>
      <c r="C148" s="16" t="s">
        <v>3</v>
      </c>
      <c r="D148" s="21">
        <v>32</v>
      </c>
      <c r="E148" s="21">
        <v>6.4</v>
      </c>
      <c r="F148" s="21">
        <v>17.600000000000001</v>
      </c>
      <c r="G148" s="21">
        <v>8</v>
      </c>
      <c r="H148" s="21">
        <v>48</v>
      </c>
      <c r="I148" s="21">
        <v>9.6</v>
      </c>
      <c r="J148" s="21">
        <v>4.8</v>
      </c>
      <c r="K148" s="21">
        <v>26.400000000000002</v>
      </c>
      <c r="L148" s="21">
        <v>4.8000000000000007</v>
      </c>
      <c r="M148" s="21">
        <v>7.1999999999999993</v>
      </c>
      <c r="N148" s="21">
        <v>3.3600000000000003</v>
      </c>
      <c r="O148" s="21">
        <v>6.24</v>
      </c>
    </row>
    <row r="149" spans="1:15" x14ac:dyDescent="0.25">
      <c r="A149" s="35">
        <v>43496</v>
      </c>
      <c r="B149" s="16">
        <v>18</v>
      </c>
      <c r="C149" s="16" t="s">
        <v>78</v>
      </c>
      <c r="D149" s="21">
        <v>12</v>
      </c>
      <c r="E149" s="21">
        <v>2.4000000000000004</v>
      </c>
      <c r="F149" s="21">
        <v>6.6000000000000005</v>
      </c>
      <c r="G149" s="21">
        <v>3</v>
      </c>
      <c r="H149" s="21">
        <v>18</v>
      </c>
      <c r="I149" s="21">
        <v>3.5999999999999996</v>
      </c>
      <c r="J149" s="21">
        <v>1.7999999999999998</v>
      </c>
      <c r="K149" s="21">
        <v>9.9</v>
      </c>
      <c r="L149" s="21">
        <v>1.8</v>
      </c>
      <c r="M149" s="21">
        <v>2.6999999999999997</v>
      </c>
      <c r="N149" s="21">
        <v>1.2600000000000002</v>
      </c>
      <c r="O149" s="21">
        <v>2.34</v>
      </c>
    </row>
    <row r="150" spans="1:15" x14ac:dyDescent="0.25">
      <c r="A150" s="35">
        <v>43476</v>
      </c>
      <c r="B150" s="16">
        <v>9</v>
      </c>
      <c r="C150" s="16" t="s">
        <v>70</v>
      </c>
      <c r="D150" s="21">
        <v>45</v>
      </c>
      <c r="E150" s="21">
        <v>9</v>
      </c>
      <c r="F150" s="21">
        <v>24.750000000000004</v>
      </c>
      <c r="G150" s="21">
        <v>11.25</v>
      </c>
      <c r="H150" s="21">
        <v>67.5</v>
      </c>
      <c r="I150" s="21">
        <v>13.5</v>
      </c>
      <c r="J150" s="21">
        <v>6.75</v>
      </c>
      <c r="K150" s="21">
        <v>37.125</v>
      </c>
      <c r="L150" s="21">
        <v>6.75</v>
      </c>
      <c r="M150" s="21">
        <v>10.125</v>
      </c>
      <c r="N150" s="21">
        <v>4.7250000000000005</v>
      </c>
      <c r="O150" s="21">
        <v>8.7750000000000004</v>
      </c>
    </row>
    <row r="151" spans="1:15" x14ac:dyDescent="0.25">
      <c r="A151" s="35">
        <v>43476</v>
      </c>
      <c r="B151" s="16">
        <v>6</v>
      </c>
      <c r="C151" s="16" t="s">
        <v>68</v>
      </c>
      <c r="D151" s="21">
        <v>45</v>
      </c>
      <c r="E151" s="21">
        <v>9</v>
      </c>
      <c r="F151" s="21">
        <v>24.750000000000004</v>
      </c>
      <c r="G151" s="21">
        <v>11.25</v>
      </c>
      <c r="H151" s="21">
        <v>67.5</v>
      </c>
      <c r="I151" s="21">
        <v>13.5</v>
      </c>
      <c r="J151" s="21">
        <v>6.75</v>
      </c>
      <c r="K151" s="21">
        <v>37.125</v>
      </c>
      <c r="L151" s="21">
        <v>6.75</v>
      </c>
      <c r="M151" s="21">
        <v>10.125</v>
      </c>
      <c r="N151" s="21">
        <v>4.7250000000000005</v>
      </c>
      <c r="O151" s="21">
        <v>8.7750000000000004</v>
      </c>
    </row>
    <row r="152" spans="1:15" x14ac:dyDescent="0.25">
      <c r="A152" s="35">
        <v>43476</v>
      </c>
      <c r="B152" s="16">
        <v>15</v>
      </c>
      <c r="C152" s="16" t="s">
        <v>75</v>
      </c>
      <c r="D152" s="21">
        <v>20</v>
      </c>
      <c r="E152" s="21">
        <v>4</v>
      </c>
      <c r="F152" s="21">
        <v>11</v>
      </c>
      <c r="G152" s="21">
        <v>5</v>
      </c>
      <c r="H152" s="21">
        <v>30</v>
      </c>
      <c r="I152" s="21">
        <v>6</v>
      </c>
      <c r="J152" s="21">
        <v>3</v>
      </c>
      <c r="K152" s="21">
        <v>16.5</v>
      </c>
      <c r="L152" s="21">
        <v>3</v>
      </c>
      <c r="M152" s="21">
        <v>4.5</v>
      </c>
      <c r="N152" s="21">
        <v>2.1</v>
      </c>
      <c r="O152" s="21">
        <v>3.9000000000000004</v>
      </c>
    </row>
    <row r="153" spans="1:15" x14ac:dyDescent="0.25">
      <c r="A153" s="35">
        <v>43476</v>
      </c>
      <c r="B153" s="16">
        <v>8</v>
      </c>
      <c r="C153" s="16" t="s">
        <v>4</v>
      </c>
      <c r="D153" s="21">
        <v>60</v>
      </c>
      <c r="E153" s="21">
        <v>12</v>
      </c>
      <c r="F153" s="21">
        <v>33</v>
      </c>
      <c r="G153" s="21">
        <v>15</v>
      </c>
      <c r="H153" s="21">
        <v>90</v>
      </c>
      <c r="I153" s="21">
        <v>18</v>
      </c>
      <c r="J153" s="21">
        <v>9</v>
      </c>
      <c r="K153" s="21">
        <v>49.500000000000007</v>
      </c>
      <c r="L153" s="21">
        <v>9</v>
      </c>
      <c r="M153" s="21">
        <v>13.5</v>
      </c>
      <c r="N153" s="21">
        <v>6.3000000000000007</v>
      </c>
      <c r="O153" s="21">
        <v>11.700000000000001</v>
      </c>
    </row>
    <row r="154" spans="1:15" x14ac:dyDescent="0.25">
      <c r="A154" s="35">
        <v>43487</v>
      </c>
      <c r="B154" s="16">
        <v>7</v>
      </c>
      <c r="C154" s="16" t="s">
        <v>69</v>
      </c>
      <c r="D154" s="21">
        <v>15</v>
      </c>
      <c r="E154" s="21">
        <v>3</v>
      </c>
      <c r="F154" s="21">
        <v>8.25</v>
      </c>
      <c r="G154" s="21">
        <v>3.75</v>
      </c>
      <c r="H154" s="21">
        <v>22.5</v>
      </c>
      <c r="I154" s="21">
        <v>4.5</v>
      </c>
      <c r="J154" s="21">
        <v>2.25</v>
      </c>
      <c r="K154" s="21">
        <v>12.375000000000002</v>
      </c>
      <c r="L154" s="21">
        <v>2.25</v>
      </c>
      <c r="M154" s="21">
        <v>3.375</v>
      </c>
      <c r="N154" s="21">
        <v>1.5750000000000002</v>
      </c>
      <c r="O154" s="21">
        <v>2.9250000000000003</v>
      </c>
    </row>
    <row r="155" spans="1:15" x14ac:dyDescent="0.25">
      <c r="A155" s="35">
        <v>43497</v>
      </c>
      <c r="B155" s="16">
        <v>10</v>
      </c>
      <c r="C155" s="16" t="s">
        <v>5</v>
      </c>
      <c r="D155" s="21">
        <v>60</v>
      </c>
      <c r="E155" s="21">
        <v>12</v>
      </c>
      <c r="F155" s="21">
        <v>33</v>
      </c>
      <c r="G155" s="21">
        <v>15</v>
      </c>
      <c r="H155" s="21">
        <v>90</v>
      </c>
      <c r="I155" s="21">
        <v>18</v>
      </c>
      <c r="J155" s="21">
        <v>9</v>
      </c>
      <c r="K155" s="21">
        <v>49.500000000000007</v>
      </c>
      <c r="L155" s="21">
        <v>9</v>
      </c>
      <c r="M155" s="21">
        <v>13.5</v>
      </c>
      <c r="N155" s="21">
        <v>6.3000000000000007</v>
      </c>
      <c r="O155" s="21">
        <v>11.700000000000001</v>
      </c>
    </row>
    <row r="156" spans="1:15" x14ac:dyDescent="0.25">
      <c r="A156" s="35">
        <v>43497</v>
      </c>
      <c r="B156" s="16">
        <v>21</v>
      </c>
      <c r="C156" s="16" t="s">
        <v>81</v>
      </c>
      <c r="D156" s="21">
        <v>40</v>
      </c>
      <c r="E156" s="21">
        <v>8</v>
      </c>
      <c r="F156" s="21">
        <v>22</v>
      </c>
      <c r="G156" s="21">
        <v>10</v>
      </c>
      <c r="H156" s="21">
        <v>60</v>
      </c>
      <c r="I156" s="21">
        <v>12</v>
      </c>
      <c r="J156" s="21">
        <v>6</v>
      </c>
      <c r="K156" s="21">
        <v>33</v>
      </c>
      <c r="L156" s="21">
        <v>6</v>
      </c>
      <c r="M156" s="21">
        <v>9</v>
      </c>
      <c r="N156" s="21">
        <v>4.2</v>
      </c>
      <c r="O156" s="21">
        <v>7.8000000000000007</v>
      </c>
    </row>
    <row r="157" spans="1:15" x14ac:dyDescent="0.25">
      <c r="A157" s="35">
        <v>43497</v>
      </c>
      <c r="B157" s="16">
        <v>14</v>
      </c>
      <c r="C157" s="16" t="s">
        <v>74</v>
      </c>
      <c r="D157" s="21">
        <v>50</v>
      </c>
      <c r="E157" s="21">
        <v>10</v>
      </c>
      <c r="F157" s="21">
        <v>27.500000000000004</v>
      </c>
      <c r="G157" s="21">
        <v>12.5</v>
      </c>
      <c r="H157" s="21">
        <v>75</v>
      </c>
      <c r="I157" s="21">
        <v>15</v>
      </c>
      <c r="J157" s="21">
        <v>7.5</v>
      </c>
      <c r="K157" s="21">
        <v>41.25</v>
      </c>
      <c r="L157" s="21">
        <v>7.5</v>
      </c>
      <c r="M157" s="21">
        <v>11.25</v>
      </c>
      <c r="N157" s="21">
        <v>5.2500000000000009</v>
      </c>
      <c r="O157" s="21">
        <v>9.75</v>
      </c>
    </row>
    <row r="158" spans="1:15" x14ac:dyDescent="0.25">
      <c r="A158" s="35">
        <v>43480</v>
      </c>
      <c r="B158" s="16">
        <v>5</v>
      </c>
      <c r="C158" s="16" t="s">
        <v>6</v>
      </c>
      <c r="D158" s="21">
        <v>22</v>
      </c>
      <c r="E158" s="21">
        <v>4.4000000000000004</v>
      </c>
      <c r="F158" s="21">
        <v>12.100000000000001</v>
      </c>
      <c r="G158" s="21">
        <v>5.5</v>
      </c>
      <c r="H158" s="21">
        <v>33</v>
      </c>
      <c r="I158" s="21">
        <v>6.6</v>
      </c>
      <c r="J158" s="21">
        <v>3.3</v>
      </c>
      <c r="K158" s="21">
        <v>18.150000000000002</v>
      </c>
      <c r="L158" s="21">
        <v>3.3000000000000003</v>
      </c>
      <c r="M158" s="21">
        <v>4.95</v>
      </c>
      <c r="N158" s="21">
        <v>2.31</v>
      </c>
      <c r="O158" s="21">
        <v>4.29</v>
      </c>
    </row>
    <row r="159" spans="1:15" x14ac:dyDescent="0.25">
      <c r="A159" s="35">
        <v>43480</v>
      </c>
      <c r="B159" s="16">
        <v>12</v>
      </c>
      <c r="C159" s="16" t="s">
        <v>72</v>
      </c>
      <c r="D159" s="21">
        <v>35</v>
      </c>
      <c r="E159" s="21">
        <v>7</v>
      </c>
      <c r="F159" s="21">
        <v>19.25</v>
      </c>
      <c r="G159" s="21">
        <v>8.75</v>
      </c>
      <c r="H159" s="21">
        <v>52.5</v>
      </c>
      <c r="I159" s="21">
        <v>10.5</v>
      </c>
      <c r="J159" s="21">
        <v>5.25</v>
      </c>
      <c r="K159" s="21">
        <v>28.875000000000004</v>
      </c>
      <c r="L159" s="21">
        <v>5.25</v>
      </c>
      <c r="M159" s="21">
        <v>7.875</v>
      </c>
      <c r="N159" s="21">
        <v>3.6750000000000003</v>
      </c>
      <c r="O159" s="21">
        <v>6.8250000000000002</v>
      </c>
    </row>
    <row r="160" spans="1:15" x14ac:dyDescent="0.25">
      <c r="A160" s="35">
        <v>43480</v>
      </c>
      <c r="B160" s="16">
        <v>19</v>
      </c>
      <c r="C160" s="16" t="s">
        <v>79</v>
      </c>
      <c r="D160" s="21">
        <v>54</v>
      </c>
      <c r="E160" s="21">
        <v>10.8</v>
      </c>
      <c r="F160" s="21">
        <v>29.700000000000003</v>
      </c>
      <c r="G160" s="21">
        <v>13.5</v>
      </c>
      <c r="H160" s="21">
        <v>81</v>
      </c>
      <c r="I160" s="21">
        <v>16.2</v>
      </c>
      <c r="J160" s="21">
        <v>8.1</v>
      </c>
      <c r="K160" s="21">
        <v>44.550000000000004</v>
      </c>
      <c r="L160" s="21">
        <v>8.1</v>
      </c>
      <c r="M160" s="21">
        <v>12.15</v>
      </c>
      <c r="N160" s="21">
        <v>5.6700000000000008</v>
      </c>
      <c r="O160" s="21">
        <v>10.530000000000001</v>
      </c>
    </row>
    <row r="161" spans="1:15" x14ac:dyDescent="0.25">
      <c r="A161" s="35">
        <v>43497</v>
      </c>
      <c r="B161" s="16">
        <v>17</v>
      </c>
      <c r="C161" s="16" t="s">
        <v>77</v>
      </c>
      <c r="D161" s="21">
        <v>56</v>
      </c>
      <c r="E161" s="21">
        <v>11.200000000000001</v>
      </c>
      <c r="F161" s="21">
        <v>30.800000000000004</v>
      </c>
      <c r="G161" s="21">
        <v>14</v>
      </c>
      <c r="H161" s="21">
        <v>84</v>
      </c>
      <c r="I161" s="21">
        <v>16.8</v>
      </c>
      <c r="J161" s="21">
        <v>8.4</v>
      </c>
      <c r="K161" s="21">
        <v>46.2</v>
      </c>
      <c r="L161" s="21">
        <v>8.4</v>
      </c>
      <c r="M161" s="21">
        <v>12.6</v>
      </c>
      <c r="N161" s="21">
        <v>5.8800000000000008</v>
      </c>
      <c r="O161" s="21">
        <v>10.92</v>
      </c>
    </row>
    <row r="162" spans="1:15" x14ac:dyDescent="0.25">
      <c r="A162" s="35">
        <v>43488</v>
      </c>
      <c r="B162" s="16">
        <v>13</v>
      </c>
      <c r="C162" s="16" t="s">
        <v>73</v>
      </c>
      <c r="D162" s="21">
        <v>48</v>
      </c>
      <c r="E162" s="21">
        <v>9.6000000000000014</v>
      </c>
      <c r="F162" s="21">
        <v>26.400000000000002</v>
      </c>
      <c r="G162" s="21">
        <v>12</v>
      </c>
      <c r="H162" s="21">
        <v>72</v>
      </c>
      <c r="I162" s="21">
        <v>14.399999999999999</v>
      </c>
      <c r="J162" s="21">
        <v>7.1999999999999993</v>
      </c>
      <c r="K162" s="21">
        <v>39.6</v>
      </c>
      <c r="L162" s="21">
        <v>7.2</v>
      </c>
      <c r="M162" s="21">
        <v>10.799999999999999</v>
      </c>
      <c r="N162" s="21">
        <v>5.0400000000000009</v>
      </c>
      <c r="O162" s="21">
        <v>9.36</v>
      </c>
    </row>
    <row r="163" spans="1:15" x14ac:dyDescent="0.25">
      <c r="A163" s="35">
        <v>43489</v>
      </c>
      <c r="B163" s="16">
        <v>20</v>
      </c>
      <c r="C163" s="16" t="s">
        <v>80</v>
      </c>
      <c r="D163" s="21">
        <v>45</v>
      </c>
      <c r="E163" s="21">
        <v>9</v>
      </c>
      <c r="F163" s="21">
        <v>24.750000000000004</v>
      </c>
      <c r="G163" s="21">
        <v>11.25</v>
      </c>
      <c r="H163" s="21">
        <v>67.5</v>
      </c>
      <c r="I163" s="21">
        <v>13.5</v>
      </c>
      <c r="J163" s="21">
        <v>6.75</v>
      </c>
      <c r="K163" s="21">
        <v>37.125</v>
      </c>
      <c r="L163" s="21">
        <v>6.75</v>
      </c>
      <c r="M163" s="21">
        <v>10.125</v>
      </c>
      <c r="N163" s="21">
        <v>4.7250000000000005</v>
      </c>
      <c r="O163" s="21">
        <v>8.7750000000000004</v>
      </c>
    </row>
    <row r="164" spans="1:15" x14ac:dyDescent="0.25">
      <c r="A164" s="35">
        <v>43480</v>
      </c>
      <c r="B164" s="16">
        <v>11</v>
      </c>
      <c r="C164" s="16" t="s">
        <v>71</v>
      </c>
      <c r="D164" s="21">
        <v>22</v>
      </c>
      <c r="E164" s="21">
        <v>4.4000000000000004</v>
      </c>
      <c r="F164" s="21">
        <v>12.100000000000001</v>
      </c>
      <c r="G164" s="21">
        <v>5.5</v>
      </c>
      <c r="H164" s="21">
        <v>33</v>
      </c>
      <c r="I164" s="21">
        <v>6.6</v>
      </c>
      <c r="J164" s="21">
        <v>3.3</v>
      </c>
      <c r="K164" s="21">
        <v>18.150000000000002</v>
      </c>
      <c r="L164" s="21">
        <v>3.3000000000000003</v>
      </c>
      <c r="M164" s="21">
        <v>4.95</v>
      </c>
      <c r="N164" s="21">
        <v>2.31</v>
      </c>
      <c r="O164" s="21">
        <v>4.29</v>
      </c>
    </row>
    <row r="165" spans="1:15" x14ac:dyDescent="0.25">
      <c r="A165" s="35">
        <v>43476</v>
      </c>
      <c r="B165" s="16">
        <v>4</v>
      </c>
      <c r="C165" s="16" t="s">
        <v>67</v>
      </c>
      <c r="D165" s="21">
        <v>33</v>
      </c>
      <c r="E165" s="21">
        <v>6.6000000000000005</v>
      </c>
      <c r="F165" s="21">
        <v>18.150000000000002</v>
      </c>
      <c r="G165" s="21">
        <v>8.25</v>
      </c>
      <c r="H165" s="21">
        <v>49.5</v>
      </c>
      <c r="I165" s="21">
        <v>9.9</v>
      </c>
      <c r="J165" s="21">
        <v>4.95</v>
      </c>
      <c r="K165" s="21">
        <v>27.225000000000001</v>
      </c>
      <c r="L165" s="21">
        <v>4.95</v>
      </c>
      <c r="M165" s="21">
        <v>7.4249999999999998</v>
      </c>
      <c r="N165" s="21">
        <v>3.4650000000000003</v>
      </c>
      <c r="O165" s="21">
        <v>6.4350000000000005</v>
      </c>
    </row>
    <row r="166" spans="1:15" x14ac:dyDescent="0.25">
      <c r="A166" s="35">
        <v>43481</v>
      </c>
      <c r="B166" s="16">
        <v>16</v>
      </c>
      <c r="C166" s="16" t="s">
        <v>76</v>
      </c>
      <c r="D166" s="21">
        <v>34</v>
      </c>
      <c r="E166" s="21">
        <v>6.8000000000000007</v>
      </c>
      <c r="F166" s="21">
        <v>18.700000000000003</v>
      </c>
      <c r="G166" s="21">
        <v>8.5</v>
      </c>
      <c r="H166" s="21">
        <v>51</v>
      </c>
      <c r="I166" s="21">
        <v>10.199999999999999</v>
      </c>
      <c r="J166" s="21">
        <v>5.0999999999999996</v>
      </c>
      <c r="K166" s="21">
        <v>28.05</v>
      </c>
      <c r="L166" s="21">
        <v>5.1000000000000005</v>
      </c>
      <c r="M166" s="21">
        <v>7.6499999999999995</v>
      </c>
      <c r="N166" s="21">
        <v>3.5700000000000003</v>
      </c>
      <c r="O166" s="21">
        <v>6.63</v>
      </c>
    </row>
    <row r="167" spans="1:15" x14ac:dyDescent="0.25">
      <c r="A167" s="35">
        <v>43498</v>
      </c>
      <c r="B167" s="16">
        <v>3</v>
      </c>
      <c r="C167" s="16" t="s">
        <v>66</v>
      </c>
      <c r="D167" s="21">
        <v>635</v>
      </c>
      <c r="E167" s="21">
        <v>127</v>
      </c>
      <c r="F167" s="21">
        <v>349.25</v>
      </c>
      <c r="G167" s="21">
        <v>158.75</v>
      </c>
      <c r="H167" s="21">
        <v>952.5</v>
      </c>
      <c r="I167" s="21">
        <v>190.5</v>
      </c>
      <c r="J167" s="21">
        <v>95.25</v>
      </c>
      <c r="K167" s="21">
        <v>523.875</v>
      </c>
      <c r="L167" s="21">
        <v>95.25</v>
      </c>
      <c r="M167" s="21">
        <v>142.875</v>
      </c>
      <c r="N167" s="21">
        <v>66.675000000000011</v>
      </c>
      <c r="O167" s="21">
        <v>123.825</v>
      </c>
    </row>
    <row r="168" spans="1:15" x14ac:dyDescent="0.25">
      <c r="A168" s="35">
        <v>43482</v>
      </c>
      <c r="B168" s="16">
        <v>2</v>
      </c>
      <c r="C168" s="16" t="s">
        <v>65</v>
      </c>
      <c r="D168" s="21">
        <v>56</v>
      </c>
      <c r="E168" s="21">
        <v>11.200000000000001</v>
      </c>
      <c r="F168" s="21">
        <v>30.800000000000004</v>
      </c>
      <c r="G168" s="21">
        <v>14</v>
      </c>
      <c r="H168" s="21">
        <v>84</v>
      </c>
      <c r="I168" s="21">
        <v>16.8</v>
      </c>
      <c r="J168" s="21">
        <v>8.4</v>
      </c>
      <c r="K168" s="21">
        <v>46.2</v>
      </c>
      <c r="L168" s="21">
        <v>8.4</v>
      </c>
      <c r="M168" s="21">
        <v>12.6</v>
      </c>
      <c r="N168" s="21">
        <v>5.8800000000000008</v>
      </c>
      <c r="O168" s="21">
        <v>10.92</v>
      </c>
    </row>
    <row r="169" spans="1:15" x14ac:dyDescent="0.25">
      <c r="A169" s="35">
        <v>43495</v>
      </c>
      <c r="B169" s="16">
        <v>1</v>
      </c>
      <c r="C169" s="16" t="s">
        <v>3</v>
      </c>
      <c r="D169" s="21">
        <v>45</v>
      </c>
      <c r="E169" s="21">
        <v>9</v>
      </c>
      <c r="F169" s="21">
        <v>24.750000000000004</v>
      </c>
      <c r="G169" s="21">
        <v>11.25</v>
      </c>
      <c r="H169" s="21">
        <v>67.5</v>
      </c>
      <c r="I169" s="21">
        <v>13.5</v>
      </c>
      <c r="J169" s="21">
        <v>6.75</v>
      </c>
      <c r="K169" s="21">
        <v>37.125</v>
      </c>
      <c r="L169" s="21">
        <v>6.75</v>
      </c>
      <c r="M169" s="21">
        <v>10.125</v>
      </c>
      <c r="N169" s="21">
        <v>4.7250000000000005</v>
      </c>
      <c r="O169" s="21">
        <v>8.7750000000000004</v>
      </c>
    </row>
    <row r="170" spans="1:15" x14ac:dyDescent="0.25">
      <c r="A170" s="35">
        <v>43495</v>
      </c>
      <c r="B170" s="16">
        <v>18</v>
      </c>
      <c r="C170" s="16" t="s">
        <v>78</v>
      </c>
      <c r="D170" s="21">
        <v>40</v>
      </c>
      <c r="E170" s="21">
        <v>8</v>
      </c>
      <c r="F170" s="21">
        <v>22</v>
      </c>
      <c r="G170" s="21">
        <v>10</v>
      </c>
      <c r="H170" s="21">
        <v>60</v>
      </c>
      <c r="I170" s="21">
        <v>12</v>
      </c>
      <c r="J170" s="21">
        <v>6</v>
      </c>
      <c r="K170" s="21">
        <v>33</v>
      </c>
      <c r="L170" s="21">
        <v>6</v>
      </c>
      <c r="M170" s="21">
        <v>9</v>
      </c>
      <c r="N170" s="21">
        <v>4.2</v>
      </c>
      <c r="O170" s="21">
        <v>7.8000000000000007</v>
      </c>
    </row>
    <row r="171" spans="1:15" x14ac:dyDescent="0.25">
      <c r="A171" s="35">
        <v>43496</v>
      </c>
      <c r="B171" s="16">
        <v>9</v>
      </c>
      <c r="C171" s="16" t="s">
        <v>70</v>
      </c>
      <c r="D171" s="21">
        <v>50</v>
      </c>
      <c r="E171" s="21">
        <v>10</v>
      </c>
      <c r="F171" s="21">
        <v>27.500000000000004</v>
      </c>
      <c r="G171" s="21">
        <v>12.5</v>
      </c>
      <c r="H171" s="21">
        <v>75</v>
      </c>
      <c r="I171" s="21">
        <v>15</v>
      </c>
      <c r="J171" s="21">
        <v>7.5</v>
      </c>
      <c r="K171" s="21">
        <v>41.25</v>
      </c>
      <c r="L171" s="21">
        <v>7.5</v>
      </c>
      <c r="M171" s="21">
        <v>11.25</v>
      </c>
      <c r="N171" s="21">
        <v>5.2500000000000009</v>
      </c>
      <c r="O171" s="21">
        <v>9.75</v>
      </c>
    </row>
    <row r="172" spans="1:15" x14ac:dyDescent="0.25">
      <c r="A172" s="35">
        <v>43496</v>
      </c>
      <c r="B172" s="16">
        <v>6</v>
      </c>
      <c r="C172" s="16" t="s">
        <v>68</v>
      </c>
      <c r="D172" s="21">
        <v>60</v>
      </c>
      <c r="E172" s="21">
        <v>12</v>
      </c>
      <c r="F172" s="21">
        <v>33</v>
      </c>
      <c r="G172" s="21">
        <v>15</v>
      </c>
      <c r="H172" s="21">
        <v>90</v>
      </c>
      <c r="I172" s="21">
        <v>18</v>
      </c>
      <c r="J172" s="21">
        <v>9</v>
      </c>
      <c r="K172" s="21">
        <v>49.500000000000007</v>
      </c>
      <c r="L172" s="21">
        <v>9</v>
      </c>
      <c r="M172" s="21">
        <v>13.5</v>
      </c>
      <c r="N172" s="21">
        <v>6.3000000000000007</v>
      </c>
      <c r="O172" s="21">
        <v>11.700000000000001</v>
      </c>
    </row>
    <row r="173" spans="1:15" x14ac:dyDescent="0.25">
      <c r="A173" s="35">
        <v>43501</v>
      </c>
      <c r="B173" s="16">
        <v>15</v>
      </c>
      <c r="C173" s="16" t="s">
        <v>75</v>
      </c>
      <c r="D173" s="21">
        <v>40</v>
      </c>
      <c r="E173" s="21">
        <v>8</v>
      </c>
      <c r="F173" s="21">
        <v>22</v>
      </c>
      <c r="G173" s="21">
        <v>10</v>
      </c>
      <c r="H173" s="21">
        <v>60</v>
      </c>
      <c r="I173" s="21">
        <v>12</v>
      </c>
      <c r="J173" s="21">
        <v>6</v>
      </c>
      <c r="K173" s="21">
        <v>33</v>
      </c>
      <c r="L173" s="21">
        <v>6</v>
      </c>
      <c r="M173" s="21">
        <v>9</v>
      </c>
      <c r="N173" s="21">
        <v>4.2</v>
      </c>
      <c r="O173" s="21">
        <v>7.8000000000000007</v>
      </c>
    </row>
    <row r="174" spans="1:15" x14ac:dyDescent="0.25">
      <c r="A174" s="35">
        <v>43501</v>
      </c>
      <c r="B174" s="16">
        <v>8</v>
      </c>
      <c r="C174" s="16" t="s">
        <v>4</v>
      </c>
      <c r="D174" s="21">
        <v>50</v>
      </c>
      <c r="E174" s="21">
        <v>10</v>
      </c>
      <c r="F174" s="21">
        <v>27.500000000000004</v>
      </c>
      <c r="G174" s="21">
        <v>12.5</v>
      </c>
      <c r="H174" s="21">
        <v>75</v>
      </c>
      <c r="I174" s="21">
        <v>15</v>
      </c>
      <c r="J174" s="21">
        <v>7.5</v>
      </c>
      <c r="K174" s="21">
        <v>41.25</v>
      </c>
      <c r="L174" s="21">
        <v>7.5</v>
      </c>
      <c r="M174" s="21">
        <v>11.25</v>
      </c>
      <c r="N174" s="21">
        <v>5.2500000000000009</v>
      </c>
      <c r="O174" s="21">
        <v>9.75</v>
      </c>
    </row>
    <row r="175" spans="1:15" x14ac:dyDescent="0.25">
      <c r="A175" s="35">
        <v>43502</v>
      </c>
      <c r="B175" s="16">
        <v>7</v>
      </c>
      <c r="C175" s="16" t="s">
        <v>69</v>
      </c>
      <c r="D175" s="21">
        <v>60</v>
      </c>
      <c r="E175" s="21">
        <v>12</v>
      </c>
      <c r="F175" s="21">
        <v>33</v>
      </c>
      <c r="G175" s="21">
        <v>15</v>
      </c>
      <c r="H175" s="21">
        <v>90</v>
      </c>
      <c r="I175" s="21">
        <v>18</v>
      </c>
      <c r="J175" s="21">
        <v>9</v>
      </c>
      <c r="K175" s="21">
        <v>49.500000000000007</v>
      </c>
      <c r="L175" s="21">
        <v>9</v>
      </c>
      <c r="M175" s="21">
        <v>13.5</v>
      </c>
      <c r="N175" s="21">
        <v>6.3000000000000007</v>
      </c>
      <c r="O175" s="21">
        <v>11.700000000000001</v>
      </c>
    </row>
    <row r="176" spans="1:15" x14ac:dyDescent="0.25">
      <c r="A176" s="35">
        <v>43497</v>
      </c>
      <c r="B176" s="16">
        <v>10</v>
      </c>
      <c r="C176" s="16" t="s">
        <v>5</v>
      </c>
      <c r="D176" s="21">
        <v>60</v>
      </c>
      <c r="E176" s="21">
        <v>12</v>
      </c>
      <c r="F176" s="21">
        <v>33</v>
      </c>
      <c r="G176" s="21">
        <v>15</v>
      </c>
      <c r="H176" s="21">
        <v>90</v>
      </c>
      <c r="I176" s="21">
        <v>18</v>
      </c>
      <c r="J176" s="21">
        <v>9</v>
      </c>
      <c r="K176" s="21">
        <v>49.500000000000007</v>
      </c>
      <c r="L176" s="21">
        <v>9</v>
      </c>
      <c r="M176" s="21">
        <v>13.5</v>
      </c>
      <c r="N176" s="21">
        <v>6.3000000000000007</v>
      </c>
      <c r="O176" s="21">
        <v>11.700000000000001</v>
      </c>
    </row>
    <row r="177" spans="1:15" x14ac:dyDescent="0.25">
      <c r="A177" s="35">
        <v>43502</v>
      </c>
      <c r="B177" s="16">
        <v>21</v>
      </c>
      <c r="C177" s="16" t="s">
        <v>81</v>
      </c>
      <c r="D177" s="21">
        <v>55</v>
      </c>
      <c r="E177" s="21">
        <v>11</v>
      </c>
      <c r="F177" s="21">
        <v>30.250000000000004</v>
      </c>
      <c r="G177" s="21">
        <v>13.75</v>
      </c>
      <c r="H177" s="21">
        <v>82.5</v>
      </c>
      <c r="I177" s="21">
        <v>16.5</v>
      </c>
      <c r="J177" s="21">
        <v>8.25</v>
      </c>
      <c r="K177" s="21">
        <v>45.375000000000007</v>
      </c>
      <c r="L177" s="21">
        <v>8.25</v>
      </c>
      <c r="M177" s="21">
        <v>12.375</v>
      </c>
      <c r="N177" s="21">
        <v>5.7750000000000004</v>
      </c>
      <c r="O177" s="21">
        <v>10.725</v>
      </c>
    </row>
    <row r="178" spans="1:15" x14ac:dyDescent="0.25">
      <c r="A178" s="35">
        <v>43502</v>
      </c>
      <c r="B178" s="16">
        <v>14</v>
      </c>
      <c r="C178" s="16" t="s">
        <v>74</v>
      </c>
      <c r="D178" s="21">
        <v>45</v>
      </c>
      <c r="E178" s="21">
        <v>9</v>
      </c>
      <c r="F178" s="21">
        <v>24.750000000000004</v>
      </c>
      <c r="G178" s="21">
        <v>11.25</v>
      </c>
      <c r="H178" s="21">
        <v>67.5</v>
      </c>
      <c r="I178" s="21">
        <v>13.5</v>
      </c>
      <c r="J178" s="21">
        <v>6.75</v>
      </c>
      <c r="K178" s="21">
        <v>37.125</v>
      </c>
      <c r="L178" s="21">
        <v>6.75</v>
      </c>
      <c r="M178" s="21">
        <v>10.125</v>
      </c>
      <c r="N178" s="21">
        <v>4.7250000000000005</v>
      </c>
      <c r="O178" s="21">
        <v>8.7750000000000004</v>
      </c>
    </row>
    <row r="179" spans="1:15" x14ac:dyDescent="0.25">
      <c r="A179" s="35">
        <v>43484</v>
      </c>
      <c r="B179" s="16">
        <v>5</v>
      </c>
      <c r="C179" s="16" t="s">
        <v>6</v>
      </c>
      <c r="D179" s="21">
        <v>46</v>
      </c>
      <c r="E179" s="21">
        <v>9.2000000000000011</v>
      </c>
      <c r="F179" s="21">
        <v>25.3</v>
      </c>
      <c r="G179" s="21">
        <v>11.5</v>
      </c>
      <c r="H179" s="21">
        <v>69</v>
      </c>
      <c r="I179" s="21">
        <v>13.799999999999999</v>
      </c>
      <c r="J179" s="21">
        <v>6.8999999999999995</v>
      </c>
      <c r="K179" s="21">
        <v>37.950000000000003</v>
      </c>
      <c r="L179" s="21">
        <v>6.9</v>
      </c>
      <c r="M179" s="21">
        <v>10.35</v>
      </c>
      <c r="N179" s="21">
        <v>4.83</v>
      </c>
      <c r="O179" s="21">
        <v>8.9700000000000006</v>
      </c>
    </row>
    <row r="180" spans="1:15" x14ac:dyDescent="0.25">
      <c r="A180" s="35">
        <v>43484</v>
      </c>
      <c r="B180" s="16">
        <v>12</v>
      </c>
      <c r="C180" s="16" t="s">
        <v>72</v>
      </c>
      <c r="D180" s="21">
        <v>46</v>
      </c>
      <c r="E180" s="21">
        <v>9.2000000000000011</v>
      </c>
      <c r="F180" s="21">
        <v>25.3</v>
      </c>
      <c r="G180" s="21">
        <v>11.5</v>
      </c>
      <c r="H180" s="21">
        <v>69</v>
      </c>
      <c r="I180" s="21">
        <v>13.799999999999999</v>
      </c>
      <c r="J180" s="21">
        <v>6.8999999999999995</v>
      </c>
      <c r="K180" s="21">
        <v>37.950000000000003</v>
      </c>
      <c r="L180" s="21">
        <v>6.9</v>
      </c>
      <c r="M180" s="21">
        <v>10.35</v>
      </c>
      <c r="N180" s="21">
        <v>4.83</v>
      </c>
      <c r="O180" s="21">
        <v>8.9700000000000006</v>
      </c>
    </row>
    <row r="181" spans="1:15" x14ac:dyDescent="0.25">
      <c r="A181" s="35">
        <v>43484</v>
      </c>
      <c r="B181" s="16">
        <v>19</v>
      </c>
      <c r="C181" s="16" t="s">
        <v>79</v>
      </c>
      <c r="D181" s="21">
        <v>42</v>
      </c>
      <c r="E181" s="21">
        <v>8.4</v>
      </c>
      <c r="F181" s="21">
        <v>23.1</v>
      </c>
      <c r="G181" s="21">
        <v>10.5</v>
      </c>
      <c r="H181" s="21">
        <v>63</v>
      </c>
      <c r="I181" s="21">
        <v>12.6</v>
      </c>
      <c r="J181" s="21">
        <v>6.3</v>
      </c>
      <c r="K181" s="21">
        <v>34.650000000000006</v>
      </c>
      <c r="L181" s="21">
        <v>6.3000000000000007</v>
      </c>
      <c r="M181" s="21">
        <v>9.4499999999999993</v>
      </c>
      <c r="N181" s="21">
        <v>4.41</v>
      </c>
      <c r="O181" s="21">
        <v>8.19</v>
      </c>
    </row>
    <row r="182" spans="1:15" x14ac:dyDescent="0.25">
      <c r="A182" s="35">
        <v>43503</v>
      </c>
      <c r="B182" s="16">
        <v>17</v>
      </c>
      <c r="C182" s="16" t="s">
        <v>77</v>
      </c>
      <c r="D182" s="21">
        <v>62</v>
      </c>
      <c r="E182" s="21">
        <v>12.4</v>
      </c>
      <c r="F182" s="21">
        <v>34.1</v>
      </c>
      <c r="G182" s="21">
        <v>15.5</v>
      </c>
      <c r="H182" s="21">
        <v>93</v>
      </c>
      <c r="I182" s="21">
        <v>18.599999999999998</v>
      </c>
      <c r="J182" s="21">
        <v>9.2999999999999989</v>
      </c>
      <c r="K182" s="21">
        <v>51.150000000000006</v>
      </c>
      <c r="L182" s="21">
        <v>9.3000000000000007</v>
      </c>
      <c r="M182" s="21">
        <v>13.95</v>
      </c>
      <c r="N182" s="21">
        <v>6.5100000000000007</v>
      </c>
      <c r="O182" s="21">
        <v>12.09</v>
      </c>
    </row>
    <row r="183" spans="1:15" x14ac:dyDescent="0.25">
      <c r="A183" s="35">
        <v>43503</v>
      </c>
      <c r="B183" s="16">
        <v>13</v>
      </c>
      <c r="C183" s="16" t="s">
        <v>73</v>
      </c>
      <c r="D183" s="21">
        <v>64</v>
      </c>
      <c r="E183" s="21">
        <v>12.8</v>
      </c>
      <c r="F183" s="21">
        <v>35.200000000000003</v>
      </c>
      <c r="G183" s="21">
        <v>16</v>
      </c>
      <c r="H183" s="21">
        <v>96</v>
      </c>
      <c r="I183" s="21">
        <v>19.2</v>
      </c>
      <c r="J183" s="21">
        <v>9.6</v>
      </c>
      <c r="K183" s="21">
        <v>52.800000000000004</v>
      </c>
      <c r="L183" s="21">
        <v>9.6000000000000014</v>
      </c>
      <c r="M183" s="21">
        <v>14.399999999999999</v>
      </c>
      <c r="N183" s="21">
        <v>6.7200000000000006</v>
      </c>
      <c r="O183" s="21">
        <v>12.48</v>
      </c>
    </row>
    <row r="184" spans="1:15" x14ac:dyDescent="0.25">
      <c r="A184" s="35">
        <v>43486</v>
      </c>
      <c r="B184" s="16">
        <v>20</v>
      </c>
      <c r="C184" s="16" t="s">
        <v>80</v>
      </c>
      <c r="D184" s="21">
        <v>68</v>
      </c>
      <c r="E184" s="21">
        <v>13.600000000000001</v>
      </c>
      <c r="F184" s="21">
        <v>37.400000000000006</v>
      </c>
      <c r="G184" s="21">
        <v>17</v>
      </c>
      <c r="H184" s="21">
        <v>102</v>
      </c>
      <c r="I184" s="21">
        <v>20.399999999999999</v>
      </c>
      <c r="J184" s="21">
        <v>10.199999999999999</v>
      </c>
      <c r="K184" s="21">
        <v>56.1</v>
      </c>
      <c r="L184" s="21">
        <v>10.200000000000001</v>
      </c>
      <c r="M184" s="21">
        <v>15.299999999999999</v>
      </c>
      <c r="N184" s="21">
        <v>7.1400000000000006</v>
      </c>
      <c r="O184" s="21">
        <v>13.26</v>
      </c>
    </row>
    <row r="185" spans="1:15" x14ac:dyDescent="0.25">
      <c r="A185" s="35">
        <v>43486</v>
      </c>
      <c r="B185" s="16">
        <v>11</v>
      </c>
      <c r="C185" s="16" t="s">
        <v>71</v>
      </c>
      <c r="D185" s="21">
        <v>70</v>
      </c>
      <c r="E185" s="21">
        <v>14</v>
      </c>
      <c r="F185" s="21">
        <v>38.5</v>
      </c>
      <c r="G185" s="21">
        <v>17.5</v>
      </c>
      <c r="H185" s="21">
        <v>105</v>
      </c>
      <c r="I185" s="21">
        <v>21</v>
      </c>
      <c r="J185" s="21">
        <v>10.5</v>
      </c>
      <c r="K185" s="21">
        <v>57.750000000000007</v>
      </c>
      <c r="L185" s="21">
        <v>10.5</v>
      </c>
      <c r="M185" s="21">
        <v>15.75</v>
      </c>
      <c r="N185" s="21">
        <v>7.3500000000000005</v>
      </c>
      <c r="O185" s="21">
        <v>13.65</v>
      </c>
    </row>
    <row r="186" spans="1:15" x14ac:dyDescent="0.25">
      <c r="A186" s="35">
        <v>43486</v>
      </c>
      <c r="B186" s="16">
        <v>4</v>
      </c>
      <c r="C186" s="16" t="s">
        <v>67</v>
      </c>
      <c r="D186" s="21">
        <v>50</v>
      </c>
      <c r="E186" s="21">
        <v>10</v>
      </c>
      <c r="F186" s="21">
        <v>27.500000000000004</v>
      </c>
      <c r="G186" s="21">
        <v>12.5</v>
      </c>
      <c r="H186" s="21">
        <v>75</v>
      </c>
      <c r="I186" s="21">
        <v>15</v>
      </c>
      <c r="J186" s="21">
        <v>7.5</v>
      </c>
      <c r="K186" s="21">
        <v>41.25</v>
      </c>
      <c r="L186" s="21">
        <v>7.5</v>
      </c>
      <c r="M186" s="21">
        <v>11.25</v>
      </c>
      <c r="N186" s="21">
        <v>5.2500000000000009</v>
      </c>
      <c r="O186" s="21">
        <v>9.75</v>
      </c>
    </row>
    <row r="187" spans="1:15" x14ac:dyDescent="0.25">
      <c r="A187" s="35">
        <v>43487</v>
      </c>
      <c r="B187" s="16">
        <v>16</v>
      </c>
      <c r="C187" s="16" t="s">
        <v>76</v>
      </c>
      <c r="D187" s="21">
        <v>60</v>
      </c>
      <c r="E187" s="21">
        <v>12</v>
      </c>
      <c r="F187" s="21">
        <v>33</v>
      </c>
      <c r="G187" s="21">
        <v>15</v>
      </c>
      <c r="H187" s="21">
        <v>90</v>
      </c>
      <c r="I187" s="21">
        <v>18</v>
      </c>
      <c r="J187" s="21">
        <v>9</v>
      </c>
      <c r="K187" s="21">
        <v>49.500000000000007</v>
      </c>
      <c r="L187" s="21">
        <v>9</v>
      </c>
      <c r="M187" s="21">
        <v>13.5</v>
      </c>
      <c r="N187" s="21">
        <v>6.3000000000000007</v>
      </c>
      <c r="O187" s="21">
        <v>11.700000000000001</v>
      </c>
    </row>
    <row r="188" spans="1:15" x14ac:dyDescent="0.25">
      <c r="A188" s="35">
        <v>43487</v>
      </c>
      <c r="B188" s="16">
        <v>3</v>
      </c>
      <c r="C188" s="16" t="s">
        <v>66</v>
      </c>
      <c r="D188" s="21">
        <v>42</v>
      </c>
      <c r="E188" s="21">
        <v>8.4</v>
      </c>
      <c r="F188" s="21">
        <v>23.1</v>
      </c>
      <c r="G188" s="21">
        <v>10.5</v>
      </c>
      <c r="H188" s="21">
        <v>63</v>
      </c>
      <c r="I188" s="21">
        <v>12.6</v>
      </c>
      <c r="J188" s="21">
        <v>6.3</v>
      </c>
      <c r="K188" s="21">
        <v>34.650000000000006</v>
      </c>
      <c r="L188" s="21">
        <v>6.3000000000000007</v>
      </c>
      <c r="M188" s="21">
        <v>9.4499999999999993</v>
      </c>
      <c r="N188" s="21">
        <v>4.41</v>
      </c>
      <c r="O188" s="21">
        <v>8.19</v>
      </c>
    </row>
    <row r="189" spans="1:15" x14ac:dyDescent="0.25">
      <c r="A189" s="35">
        <v>43487</v>
      </c>
      <c r="B189" s="16">
        <v>2</v>
      </c>
      <c r="C189" s="16" t="s">
        <v>65</v>
      </c>
      <c r="D189" s="21">
        <v>50</v>
      </c>
      <c r="E189" s="21">
        <v>10</v>
      </c>
      <c r="F189" s="21">
        <v>27.500000000000004</v>
      </c>
      <c r="G189" s="21">
        <v>12.5</v>
      </c>
      <c r="H189" s="21">
        <v>75</v>
      </c>
      <c r="I189" s="21">
        <v>15</v>
      </c>
      <c r="J189" s="21">
        <v>7.5</v>
      </c>
      <c r="K189" s="21">
        <v>41.25</v>
      </c>
      <c r="L189" s="21">
        <v>7.5</v>
      </c>
      <c r="M189" s="21">
        <v>11.25</v>
      </c>
      <c r="N189" s="21">
        <v>5.2500000000000009</v>
      </c>
      <c r="O189" s="21">
        <v>9.75</v>
      </c>
    </row>
    <row r="190" spans="1:15" x14ac:dyDescent="0.25">
      <c r="A190" s="35">
        <v>43498</v>
      </c>
      <c r="B190" s="16">
        <v>1</v>
      </c>
      <c r="C190" s="16" t="s">
        <v>3</v>
      </c>
      <c r="D190" s="21">
        <v>30</v>
      </c>
      <c r="E190" s="21">
        <v>6</v>
      </c>
      <c r="F190" s="21">
        <v>16.5</v>
      </c>
      <c r="G190" s="21">
        <v>7.5</v>
      </c>
      <c r="H190" s="21">
        <v>45</v>
      </c>
      <c r="I190" s="21">
        <v>9</v>
      </c>
      <c r="J190" s="21">
        <v>4.5</v>
      </c>
      <c r="K190" s="21">
        <v>24.750000000000004</v>
      </c>
      <c r="L190" s="21">
        <v>4.5</v>
      </c>
      <c r="M190" s="21">
        <v>6.75</v>
      </c>
      <c r="N190" s="21">
        <v>3.1500000000000004</v>
      </c>
      <c r="O190" s="21">
        <v>5.8500000000000005</v>
      </c>
    </row>
    <row r="191" spans="1:15" x14ac:dyDescent="0.25">
      <c r="A191" s="35">
        <v>43498</v>
      </c>
      <c r="B191" s="16">
        <v>18</v>
      </c>
      <c r="C191" s="16" t="s">
        <v>78</v>
      </c>
      <c r="D191" s="21">
        <v>40</v>
      </c>
      <c r="E191" s="21">
        <v>8</v>
      </c>
      <c r="F191" s="21">
        <v>22</v>
      </c>
      <c r="G191" s="21">
        <v>10</v>
      </c>
      <c r="H191" s="21">
        <v>60</v>
      </c>
      <c r="I191" s="21">
        <v>12</v>
      </c>
      <c r="J191" s="21">
        <v>6</v>
      </c>
      <c r="K191" s="21">
        <v>33</v>
      </c>
      <c r="L191" s="21">
        <v>6</v>
      </c>
      <c r="M191" s="21">
        <v>9</v>
      </c>
      <c r="N191" s="21">
        <v>4.2</v>
      </c>
      <c r="O191" s="21">
        <v>7.8000000000000007</v>
      </c>
    </row>
    <row r="192" spans="1:15" x14ac:dyDescent="0.25">
      <c r="A192" s="35">
        <v>43487</v>
      </c>
      <c r="B192" s="16">
        <v>9</v>
      </c>
      <c r="C192" s="16" t="s">
        <v>70</v>
      </c>
      <c r="D192" s="21">
        <v>50</v>
      </c>
      <c r="E192" s="21">
        <v>10</v>
      </c>
      <c r="F192" s="21">
        <v>27.500000000000004</v>
      </c>
      <c r="G192" s="21">
        <v>12.5</v>
      </c>
      <c r="H192" s="21">
        <v>75</v>
      </c>
      <c r="I192" s="21">
        <v>15</v>
      </c>
      <c r="J192" s="21">
        <v>7.5</v>
      </c>
      <c r="K192" s="21">
        <v>41.25</v>
      </c>
      <c r="L192" s="21">
        <v>7.5</v>
      </c>
      <c r="M192" s="21">
        <v>11.25</v>
      </c>
      <c r="N192" s="21">
        <v>5.2500000000000009</v>
      </c>
      <c r="O192" s="21">
        <v>9.75</v>
      </c>
    </row>
    <row r="193" spans="1:15" x14ac:dyDescent="0.25">
      <c r="A193" s="35">
        <v>43500</v>
      </c>
      <c r="B193" s="16">
        <v>6</v>
      </c>
      <c r="C193" s="16" t="s">
        <v>68</v>
      </c>
      <c r="D193" s="21">
        <v>60</v>
      </c>
      <c r="E193" s="21">
        <v>12</v>
      </c>
      <c r="F193" s="21">
        <v>33</v>
      </c>
      <c r="G193" s="21">
        <v>15</v>
      </c>
      <c r="H193" s="21">
        <v>90</v>
      </c>
      <c r="I193" s="21">
        <v>18</v>
      </c>
      <c r="J193" s="21">
        <v>9</v>
      </c>
      <c r="K193" s="21">
        <v>49.500000000000007</v>
      </c>
      <c r="L193" s="21">
        <v>9</v>
      </c>
      <c r="M193" s="21">
        <v>13.5</v>
      </c>
      <c r="N193" s="21">
        <v>6.3000000000000007</v>
      </c>
      <c r="O193" s="21">
        <v>11.700000000000001</v>
      </c>
    </row>
    <row r="194" spans="1:15" x14ac:dyDescent="0.25">
      <c r="A194" s="35">
        <v>43500</v>
      </c>
      <c r="B194" s="16">
        <v>15</v>
      </c>
      <c r="C194" s="16" t="s">
        <v>75</v>
      </c>
      <c r="D194" s="21">
        <v>40</v>
      </c>
      <c r="E194" s="21">
        <v>8</v>
      </c>
      <c r="F194" s="21">
        <v>22</v>
      </c>
      <c r="G194" s="21">
        <v>10</v>
      </c>
      <c r="H194" s="21">
        <v>60</v>
      </c>
      <c r="I194" s="21">
        <v>12</v>
      </c>
      <c r="J194" s="21">
        <v>6</v>
      </c>
      <c r="K194" s="21">
        <v>33</v>
      </c>
      <c r="L194" s="21">
        <v>6</v>
      </c>
      <c r="M194" s="21">
        <v>9</v>
      </c>
      <c r="N194" s="21">
        <v>4.2</v>
      </c>
      <c r="O194" s="21">
        <v>7.8000000000000007</v>
      </c>
    </row>
    <row r="195" spans="1:15" x14ac:dyDescent="0.25">
      <c r="A195" s="35">
        <v>43500</v>
      </c>
      <c r="B195" s="16">
        <v>8</v>
      </c>
      <c r="C195" s="16" t="s">
        <v>4</v>
      </c>
      <c r="D195" s="21">
        <v>40</v>
      </c>
      <c r="E195" s="21">
        <v>8</v>
      </c>
      <c r="F195" s="21">
        <v>22</v>
      </c>
      <c r="G195" s="21">
        <v>10</v>
      </c>
      <c r="H195" s="21">
        <v>60</v>
      </c>
      <c r="I195" s="21">
        <v>12</v>
      </c>
      <c r="J195" s="21">
        <v>6</v>
      </c>
      <c r="K195" s="21">
        <v>33</v>
      </c>
      <c r="L195" s="21">
        <v>6</v>
      </c>
      <c r="M195" s="21">
        <v>9</v>
      </c>
      <c r="N195" s="21">
        <v>4.2</v>
      </c>
      <c r="O195" s="21">
        <v>7.8000000000000007</v>
      </c>
    </row>
    <row r="196" spans="1:15" x14ac:dyDescent="0.25">
      <c r="A196" s="35">
        <v>43479</v>
      </c>
      <c r="B196" s="16">
        <v>7</v>
      </c>
      <c r="C196" s="16" t="s">
        <v>69</v>
      </c>
      <c r="D196" s="21">
        <v>50</v>
      </c>
      <c r="E196" s="21">
        <v>10</v>
      </c>
      <c r="F196" s="21">
        <v>27.500000000000004</v>
      </c>
      <c r="G196" s="21">
        <v>12.5</v>
      </c>
      <c r="H196" s="21">
        <v>75</v>
      </c>
      <c r="I196" s="21">
        <v>15</v>
      </c>
      <c r="J196" s="21">
        <v>7.5</v>
      </c>
      <c r="K196" s="21">
        <v>41.25</v>
      </c>
      <c r="L196" s="21">
        <v>7.5</v>
      </c>
      <c r="M196" s="21">
        <v>11.25</v>
      </c>
      <c r="N196" s="21">
        <v>5.2500000000000009</v>
      </c>
      <c r="O196" s="21">
        <v>9.75</v>
      </c>
    </row>
    <row r="197" spans="1:15" x14ac:dyDescent="0.25">
      <c r="A197" s="35">
        <v>43500</v>
      </c>
      <c r="B197" s="16">
        <v>4</v>
      </c>
      <c r="C197" s="16" t="s">
        <v>67</v>
      </c>
      <c r="D197" s="21">
        <v>60</v>
      </c>
      <c r="E197" s="21">
        <v>12</v>
      </c>
      <c r="F197" s="21">
        <v>33</v>
      </c>
      <c r="G197" s="21">
        <v>15</v>
      </c>
      <c r="H197" s="21">
        <v>90</v>
      </c>
      <c r="I197" s="21">
        <v>18</v>
      </c>
      <c r="J197" s="21">
        <v>9</v>
      </c>
      <c r="K197" s="21">
        <v>49.500000000000007</v>
      </c>
      <c r="L197" s="21">
        <v>9</v>
      </c>
      <c r="M197" s="21">
        <v>13.5</v>
      </c>
      <c r="N197" s="21">
        <v>6.3000000000000007</v>
      </c>
      <c r="O197" s="21">
        <v>11.700000000000001</v>
      </c>
    </row>
    <row r="198" spans="1:15" x14ac:dyDescent="0.25">
      <c r="A198" s="35">
        <v>43504</v>
      </c>
      <c r="B198" s="16">
        <v>16</v>
      </c>
      <c r="C198" s="16" t="s">
        <v>76</v>
      </c>
      <c r="D198" s="21">
        <v>22</v>
      </c>
      <c r="E198" s="21">
        <v>4.4000000000000004</v>
      </c>
      <c r="F198" s="21">
        <v>12.100000000000001</v>
      </c>
      <c r="G198" s="21">
        <v>5.5</v>
      </c>
      <c r="H198" s="21">
        <v>33</v>
      </c>
      <c r="I198" s="21">
        <v>6.6</v>
      </c>
      <c r="J198" s="21">
        <v>3.3</v>
      </c>
      <c r="K198" s="21">
        <v>18.150000000000002</v>
      </c>
      <c r="L198" s="21">
        <v>3.3000000000000003</v>
      </c>
      <c r="M198" s="21">
        <v>4.95</v>
      </c>
      <c r="N198" s="21">
        <v>2.31</v>
      </c>
      <c r="O198" s="21">
        <v>4.29</v>
      </c>
    </row>
    <row r="199" spans="1:15" x14ac:dyDescent="0.25">
      <c r="A199" s="35">
        <v>43504</v>
      </c>
      <c r="B199" s="16">
        <v>3</v>
      </c>
      <c r="C199" s="16" t="s">
        <v>66</v>
      </c>
      <c r="D199" s="21">
        <v>65</v>
      </c>
      <c r="E199" s="21">
        <v>13</v>
      </c>
      <c r="F199" s="21">
        <v>35.75</v>
      </c>
      <c r="G199" s="21">
        <v>16.25</v>
      </c>
      <c r="H199" s="21">
        <v>97.5</v>
      </c>
      <c r="I199" s="21">
        <v>19.5</v>
      </c>
      <c r="J199" s="21">
        <v>9.75</v>
      </c>
      <c r="K199" s="21">
        <v>53.625000000000007</v>
      </c>
      <c r="L199" s="21">
        <v>9.75</v>
      </c>
      <c r="M199" s="21">
        <v>14.625</v>
      </c>
      <c r="N199" s="21">
        <v>6.8250000000000011</v>
      </c>
      <c r="O199" s="21">
        <v>12.675000000000001</v>
      </c>
    </row>
    <row r="200" spans="1:15" x14ac:dyDescent="0.25">
      <c r="A200" s="35">
        <v>43501</v>
      </c>
      <c r="B200" s="16">
        <v>2</v>
      </c>
      <c r="C200" s="16" t="s">
        <v>65</v>
      </c>
      <c r="D200" s="21">
        <v>65</v>
      </c>
      <c r="E200" s="21">
        <v>13</v>
      </c>
      <c r="F200" s="21">
        <v>35.75</v>
      </c>
      <c r="G200" s="21">
        <v>16.25</v>
      </c>
      <c r="H200" s="21">
        <v>97.5</v>
      </c>
      <c r="I200" s="21">
        <v>19.5</v>
      </c>
      <c r="J200" s="21">
        <v>9.75</v>
      </c>
      <c r="K200" s="21">
        <v>53.625000000000007</v>
      </c>
      <c r="L200" s="21">
        <v>9.75</v>
      </c>
      <c r="M200" s="21">
        <v>14.625</v>
      </c>
      <c r="N200" s="21">
        <v>6.8250000000000011</v>
      </c>
      <c r="O200" s="21">
        <v>12.675000000000001</v>
      </c>
    </row>
    <row r="201" spans="1:15" x14ac:dyDescent="0.25">
      <c r="A201" s="35">
        <v>43501</v>
      </c>
      <c r="B201" s="16">
        <v>1</v>
      </c>
      <c r="C201" s="16" t="s">
        <v>3</v>
      </c>
      <c r="D201" s="21">
        <v>65</v>
      </c>
      <c r="E201" s="21">
        <v>13</v>
      </c>
      <c r="F201" s="21">
        <v>35.75</v>
      </c>
      <c r="G201" s="21">
        <v>16.25</v>
      </c>
      <c r="H201" s="21">
        <v>97.5</v>
      </c>
      <c r="I201" s="21">
        <v>19.5</v>
      </c>
      <c r="J201" s="21">
        <v>9.75</v>
      </c>
      <c r="K201" s="21">
        <v>53.625000000000007</v>
      </c>
      <c r="L201" s="21">
        <v>9.75</v>
      </c>
      <c r="M201" s="21">
        <v>14.625</v>
      </c>
      <c r="N201" s="21">
        <v>6.8250000000000011</v>
      </c>
      <c r="O201" s="21">
        <v>12.675000000000001</v>
      </c>
    </row>
    <row r="202" spans="1:15" x14ac:dyDescent="0.25">
      <c r="A202" s="35">
        <v>43501</v>
      </c>
      <c r="B202" s="16">
        <v>18</v>
      </c>
      <c r="C202" s="16" t="s">
        <v>78</v>
      </c>
      <c r="D202" s="21">
        <v>44</v>
      </c>
      <c r="E202" s="21">
        <v>8.8000000000000007</v>
      </c>
      <c r="F202" s="21">
        <v>24.200000000000003</v>
      </c>
      <c r="G202" s="21">
        <v>11</v>
      </c>
      <c r="H202" s="21">
        <v>66</v>
      </c>
      <c r="I202" s="21">
        <v>13.2</v>
      </c>
      <c r="J202" s="21">
        <v>6.6</v>
      </c>
      <c r="K202" s="21">
        <v>36.300000000000004</v>
      </c>
      <c r="L202" s="21">
        <v>6.6000000000000005</v>
      </c>
      <c r="M202" s="21">
        <v>9.9</v>
      </c>
      <c r="N202" s="21">
        <v>4.62</v>
      </c>
      <c r="O202" s="21">
        <v>8.58</v>
      </c>
    </row>
    <row r="203" spans="1:15" x14ac:dyDescent="0.25">
      <c r="A203" s="35">
        <v>43501</v>
      </c>
      <c r="B203" s="16">
        <v>9</v>
      </c>
      <c r="C203" s="16" t="s">
        <v>70</v>
      </c>
      <c r="D203" s="21">
        <v>52</v>
      </c>
      <c r="E203" s="21">
        <v>10.4</v>
      </c>
      <c r="F203" s="21">
        <v>28.6</v>
      </c>
      <c r="G203" s="21">
        <v>13</v>
      </c>
      <c r="H203" s="21">
        <v>78</v>
      </c>
      <c r="I203" s="21">
        <v>15.6</v>
      </c>
      <c r="J203" s="21">
        <v>7.8</v>
      </c>
      <c r="K203" s="21">
        <v>42.900000000000006</v>
      </c>
      <c r="L203" s="21">
        <v>7.8000000000000007</v>
      </c>
      <c r="M203" s="21">
        <v>11.7</v>
      </c>
      <c r="N203" s="21">
        <v>5.4600000000000009</v>
      </c>
      <c r="O203" s="21">
        <v>10.14</v>
      </c>
    </row>
    <row r="204" spans="1:15" x14ac:dyDescent="0.25">
      <c r="A204" s="35">
        <v>43489</v>
      </c>
      <c r="B204" s="16">
        <v>6</v>
      </c>
      <c r="C204" s="16" t="s">
        <v>68</v>
      </c>
      <c r="D204" s="21">
        <v>45</v>
      </c>
      <c r="E204" s="21">
        <v>9</v>
      </c>
      <c r="F204" s="21">
        <v>24.750000000000004</v>
      </c>
      <c r="G204" s="21">
        <v>11.25</v>
      </c>
      <c r="H204" s="21">
        <v>67.5</v>
      </c>
      <c r="I204" s="21">
        <v>13.5</v>
      </c>
      <c r="J204" s="21">
        <v>6.75</v>
      </c>
      <c r="K204" s="21">
        <v>37.125</v>
      </c>
      <c r="L204" s="21">
        <v>6.75</v>
      </c>
      <c r="M204" s="21">
        <v>10.125</v>
      </c>
      <c r="N204" s="21">
        <v>4.7250000000000005</v>
      </c>
      <c r="O204" s="21">
        <v>8.7750000000000004</v>
      </c>
    </row>
    <row r="205" spans="1:15" x14ac:dyDescent="0.25">
      <c r="A205" s="35">
        <v>43502</v>
      </c>
      <c r="B205" s="16">
        <v>4</v>
      </c>
      <c r="C205" s="16" t="s">
        <v>67</v>
      </c>
      <c r="D205" s="21">
        <v>45</v>
      </c>
      <c r="E205" s="21">
        <v>9</v>
      </c>
      <c r="F205" s="21">
        <v>24.750000000000004</v>
      </c>
      <c r="G205" s="21">
        <v>11.25</v>
      </c>
      <c r="H205" s="21">
        <v>67.5</v>
      </c>
      <c r="I205" s="21">
        <v>13.5</v>
      </c>
      <c r="J205" s="21">
        <v>6.75</v>
      </c>
      <c r="K205" s="21">
        <v>37.125</v>
      </c>
      <c r="L205" s="21">
        <v>6.75</v>
      </c>
      <c r="M205" s="21">
        <v>10.125</v>
      </c>
      <c r="N205" s="21">
        <v>4.7250000000000005</v>
      </c>
      <c r="O205" s="21">
        <v>8.7750000000000004</v>
      </c>
    </row>
    <row r="206" spans="1:15" x14ac:dyDescent="0.25">
      <c r="A206" s="35">
        <v>43507</v>
      </c>
      <c r="B206" s="16">
        <v>16</v>
      </c>
      <c r="C206" s="16" t="s">
        <v>76</v>
      </c>
      <c r="D206" s="21">
        <v>65</v>
      </c>
      <c r="E206" s="21">
        <v>13</v>
      </c>
      <c r="F206" s="21">
        <v>35.75</v>
      </c>
      <c r="G206" s="21">
        <v>16.25</v>
      </c>
      <c r="H206" s="21">
        <v>97.5</v>
      </c>
      <c r="I206" s="21">
        <v>19.5</v>
      </c>
      <c r="J206" s="21">
        <v>9.75</v>
      </c>
      <c r="K206" s="21">
        <v>53.625000000000007</v>
      </c>
      <c r="L206" s="21">
        <v>9.75</v>
      </c>
      <c r="M206" s="21">
        <v>14.625</v>
      </c>
      <c r="N206" s="21">
        <v>6.8250000000000011</v>
      </c>
      <c r="O206" s="21">
        <v>12.675000000000001</v>
      </c>
    </row>
    <row r="207" spans="1:15" x14ac:dyDescent="0.25">
      <c r="A207" s="35">
        <v>43502</v>
      </c>
      <c r="B207" s="16">
        <v>3</v>
      </c>
      <c r="C207" s="16" t="s">
        <v>66</v>
      </c>
      <c r="D207" s="21">
        <v>20</v>
      </c>
      <c r="E207" s="21">
        <v>4</v>
      </c>
      <c r="F207" s="21">
        <v>11</v>
      </c>
      <c r="G207" s="21">
        <v>5</v>
      </c>
      <c r="H207" s="21">
        <v>30</v>
      </c>
      <c r="I207" s="21">
        <v>6</v>
      </c>
      <c r="J207" s="21">
        <v>3</v>
      </c>
      <c r="K207" s="21">
        <v>16.5</v>
      </c>
      <c r="L207" s="21">
        <v>3</v>
      </c>
      <c r="M207" s="21">
        <v>4.5</v>
      </c>
      <c r="N207" s="21">
        <v>2.1</v>
      </c>
      <c r="O207" s="21">
        <v>3.9000000000000004</v>
      </c>
    </row>
    <row r="208" spans="1:15" x14ac:dyDescent="0.25">
      <c r="A208" s="35">
        <v>43508</v>
      </c>
      <c r="B208" s="16">
        <v>2</v>
      </c>
      <c r="C208" s="16" t="s">
        <v>65</v>
      </c>
      <c r="D208" s="21">
        <v>30</v>
      </c>
      <c r="E208" s="21">
        <v>6</v>
      </c>
      <c r="F208" s="21">
        <v>16.5</v>
      </c>
      <c r="G208" s="21">
        <v>7.5</v>
      </c>
      <c r="H208" s="21">
        <v>45</v>
      </c>
      <c r="I208" s="21">
        <v>9</v>
      </c>
      <c r="J208" s="21">
        <v>4.5</v>
      </c>
      <c r="K208" s="21">
        <v>24.750000000000004</v>
      </c>
      <c r="L208" s="21">
        <v>4.5</v>
      </c>
      <c r="M208" s="21">
        <v>6.75</v>
      </c>
      <c r="N208" s="21">
        <v>3.1500000000000004</v>
      </c>
      <c r="O208" s="21">
        <v>5.8500000000000005</v>
      </c>
    </row>
    <row r="209" spans="1:15" x14ac:dyDescent="0.25">
      <c r="A209" s="35">
        <v>43508</v>
      </c>
      <c r="B209" s="16">
        <v>1</v>
      </c>
      <c r="C209" s="16" t="s">
        <v>3</v>
      </c>
      <c r="D209" s="21">
        <v>50</v>
      </c>
      <c r="E209" s="21">
        <v>10</v>
      </c>
      <c r="F209" s="21">
        <v>27.500000000000004</v>
      </c>
      <c r="G209" s="21">
        <v>12.5</v>
      </c>
      <c r="H209" s="21">
        <v>75</v>
      </c>
      <c r="I209" s="21">
        <v>15</v>
      </c>
      <c r="J209" s="21">
        <v>7.5</v>
      </c>
      <c r="K209" s="21">
        <v>41.25</v>
      </c>
      <c r="L209" s="21">
        <v>7.5</v>
      </c>
      <c r="M209" s="21">
        <v>11.25</v>
      </c>
      <c r="N209" s="21">
        <v>5.2500000000000009</v>
      </c>
      <c r="O209" s="21">
        <v>9.75</v>
      </c>
    </row>
    <row r="210" spans="1:15" x14ac:dyDescent="0.25">
      <c r="A210" s="35">
        <v>43503</v>
      </c>
      <c r="B210" s="16">
        <v>18</v>
      </c>
      <c r="C210" s="16" t="s">
        <v>78</v>
      </c>
      <c r="D210" s="21">
        <v>46</v>
      </c>
      <c r="E210" s="21">
        <v>9.2000000000000011</v>
      </c>
      <c r="F210" s="21">
        <v>25.3</v>
      </c>
      <c r="G210" s="21">
        <v>11.5</v>
      </c>
      <c r="H210" s="21">
        <v>69</v>
      </c>
      <c r="I210" s="21">
        <v>13.799999999999999</v>
      </c>
      <c r="J210" s="21">
        <v>6.8999999999999995</v>
      </c>
      <c r="K210" s="21">
        <v>37.950000000000003</v>
      </c>
      <c r="L210" s="21">
        <v>6.9</v>
      </c>
      <c r="M210" s="21">
        <v>10.35</v>
      </c>
      <c r="N210" s="21">
        <v>4.83</v>
      </c>
      <c r="O210" s="21">
        <v>8.9700000000000006</v>
      </c>
    </row>
    <row r="211" spans="1:15" x14ac:dyDescent="0.25">
      <c r="A211" s="35">
        <v>43508</v>
      </c>
      <c r="B211" s="16">
        <v>9</v>
      </c>
      <c r="C211" s="16" t="s">
        <v>70</v>
      </c>
      <c r="D211" s="21">
        <v>45</v>
      </c>
      <c r="E211" s="21">
        <v>9</v>
      </c>
      <c r="F211" s="21">
        <v>24.750000000000004</v>
      </c>
      <c r="G211" s="21">
        <v>11.25</v>
      </c>
      <c r="H211" s="21">
        <v>67.5</v>
      </c>
      <c r="I211" s="21">
        <v>13.5</v>
      </c>
      <c r="J211" s="21">
        <v>6.75</v>
      </c>
      <c r="K211" s="21">
        <v>37.125</v>
      </c>
      <c r="L211" s="21">
        <v>6.75</v>
      </c>
      <c r="M211" s="21">
        <v>10.125</v>
      </c>
      <c r="N211" s="21">
        <v>4.7250000000000005</v>
      </c>
      <c r="O211" s="21">
        <v>8.7750000000000004</v>
      </c>
    </row>
    <row r="212" spans="1:15" x14ac:dyDescent="0.25">
      <c r="A212" s="35">
        <v>43508</v>
      </c>
      <c r="B212" s="16">
        <v>6</v>
      </c>
      <c r="C212" s="16" t="s">
        <v>68</v>
      </c>
      <c r="D212" s="21">
        <v>45</v>
      </c>
      <c r="E212" s="21">
        <v>9</v>
      </c>
      <c r="F212" s="21">
        <v>24.750000000000004</v>
      </c>
      <c r="G212" s="21">
        <v>11.25</v>
      </c>
      <c r="H212" s="21">
        <v>67.5</v>
      </c>
      <c r="I212" s="21">
        <v>13.5</v>
      </c>
      <c r="J212" s="21">
        <v>6.75</v>
      </c>
      <c r="K212" s="21">
        <v>37.125</v>
      </c>
      <c r="L212" s="21">
        <v>6.75</v>
      </c>
      <c r="M212" s="21">
        <v>10.125</v>
      </c>
      <c r="N212" s="21">
        <v>4.7250000000000005</v>
      </c>
      <c r="O212" s="21">
        <v>8.7750000000000004</v>
      </c>
    </row>
    <row r="213" spans="1:15" x14ac:dyDescent="0.25">
      <c r="A213" s="35">
        <v>43503</v>
      </c>
      <c r="B213" s="16">
        <v>15</v>
      </c>
      <c r="C213" s="16" t="s">
        <v>75</v>
      </c>
      <c r="D213" s="21">
        <v>50</v>
      </c>
      <c r="E213" s="21">
        <v>10</v>
      </c>
      <c r="F213" s="21">
        <v>27.500000000000004</v>
      </c>
      <c r="G213" s="21">
        <v>12.5</v>
      </c>
      <c r="H213" s="21">
        <v>75</v>
      </c>
      <c r="I213" s="21">
        <v>15</v>
      </c>
      <c r="J213" s="21">
        <v>7.5</v>
      </c>
      <c r="K213" s="21">
        <v>41.25</v>
      </c>
      <c r="L213" s="21">
        <v>7.5</v>
      </c>
      <c r="M213" s="21">
        <v>11.25</v>
      </c>
      <c r="N213" s="21">
        <v>5.2500000000000009</v>
      </c>
      <c r="O213" s="21">
        <v>9.75</v>
      </c>
    </row>
    <row r="214" spans="1:15" x14ac:dyDescent="0.25">
      <c r="A214" s="35">
        <v>43503</v>
      </c>
      <c r="B214" s="16">
        <v>8</v>
      </c>
      <c r="C214" s="16" t="s">
        <v>4</v>
      </c>
      <c r="D214" s="21">
        <v>45</v>
      </c>
      <c r="E214" s="21">
        <v>9</v>
      </c>
      <c r="F214" s="21">
        <v>24.750000000000004</v>
      </c>
      <c r="G214" s="21">
        <v>11.25</v>
      </c>
      <c r="H214" s="21">
        <v>67.5</v>
      </c>
      <c r="I214" s="21">
        <v>13.5</v>
      </c>
      <c r="J214" s="21">
        <v>6.75</v>
      </c>
      <c r="K214" s="21">
        <v>37.125</v>
      </c>
      <c r="L214" s="21">
        <v>6.75</v>
      </c>
      <c r="M214" s="21">
        <v>10.125</v>
      </c>
      <c r="N214" s="21">
        <v>4.7250000000000005</v>
      </c>
      <c r="O214" s="21">
        <v>8.7750000000000004</v>
      </c>
    </row>
    <row r="215" spans="1:15" x14ac:dyDescent="0.25">
      <c r="A215" s="35">
        <v>43504</v>
      </c>
      <c r="B215" s="16">
        <v>7</v>
      </c>
      <c r="C215" s="16" t="s">
        <v>69</v>
      </c>
      <c r="D215" s="21">
        <v>45</v>
      </c>
      <c r="E215" s="21">
        <v>9</v>
      </c>
      <c r="F215" s="21">
        <v>24.750000000000004</v>
      </c>
      <c r="G215" s="21">
        <v>11.25</v>
      </c>
      <c r="H215" s="21">
        <v>67.5</v>
      </c>
      <c r="I215" s="21">
        <v>13.5</v>
      </c>
      <c r="J215" s="21">
        <v>6.75</v>
      </c>
      <c r="K215" s="21">
        <v>37.125</v>
      </c>
      <c r="L215" s="21">
        <v>6.75</v>
      </c>
      <c r="M215" s="21">
        <v>10.125</v>
      </c>
      <c r="N215" s="21">
        <v>4.7250000000000005</v>
      </c>
      <c r="O215" s="21">
        <v>8.7750000000000004</v>
      </c>
    </row>
    <row r="216" spans="1:15" x14ac:dyDescent="0.25">
      <c r="A216" s="35">
        <v>43491</v>
      </c>
      <c r="B216" s="16">
        <v>10</v>
      </c>
      <c r="C216" s="16" t="s">
        <v>5</v>
      </c>
      <c r="D216" s="21">
        <v>65</v>
      </c>
      <c r="E216" s="21">
        <v>13</v>
      </c>
      <c r="F216" s="21">
        <v>35.75</v>
      </c>
      <c r="G216" s="21">
        <v>16.25</v>
      </c>
      <c r="H216" s="21">
        <v>97.5</v>
      </c>
      <c r="I216" s="21">
        <v>19.5</v>
      </c>
      <c r="J216" s="21">
        <v>9.75</v>
      </c>
      <c r="K216" s="21">
        <v>53.625000000000007</v>
      </c>
      <c r="L216" s="21">
        <v>9.75</v>
      </c>
      <c r="M216" s="21">
        <v>14.625</v>
      </c>
      <c r="N216" s="21">
        <v>6.8250000000000011</v>
      </c>
      <c r="O216" s="21">
        <v>12.675000000000001</v>
      </c>
    </row>
    <row r="217" spans="1:15" x14ac:dyDescent="0.25">
      <c r="A217" s="35">
        <v>43493</v>
      </c>
      <c r="B217" s="16">
        <v>21</v>
      </c>
      <c r="C217" s="16" t="s">
        <v>81</v>
      </c>
      <c r="D217" s="21">
        <v>35</v>
      </c>
      <c r="E217" s="21">
        <v>7</v>
      </c>
      <c r="F217" s="21">
        <v>19.25</v>
      </c>
      <c r="G217" s="21">
        <v>8.75</v>
      </c>
      <c r="H217" s="21">
        <v>52.5</v>
      </c>
      <c r="I217" s="21">
        <v>10.5</v>
      </c>
      <c r="J217" s="21">
        <v>5.25</v>
      </c>
      <c r="K217" s="21">
        <v>28.875000000000004</v>
      </c>
      <c r="L217" s="21">
        <v>5.25</v>
      </c>
      <c r="M217" s="21">
        <v>7.875</v>
      </c>
      <c r="N217" s="21">
        <v>3.6750000000000003</v>
      </c>
      <c r="O217" s="21">
        <v>6.8250000000000002</v>
      </c>
    </row>
    <row r="218" spans="1:15" x14ac:dyDescent="0.25">
      <c r="A218" s="35">
        <v>43493</v>
      </c>
      <c r="B218" s="16">
        <v>14</v>
      </c>
      <c r="C218" s="16" t="s">
        <v>74</v>
      </c>
      <c r="D218" s="21">
        <v>54</v>
      </c>
      <c r="E218" s="21">
        <v>10.8</v>
      </c>
      <c r="F218" s="21">
        <v>29.700000000000003</v>
      </c>
      <c r="G218" s="21">
        <v>13.5</v>
      </c>
      <c r="H218" s="21">
        <v>81</v>
      </c>
      <c r="I218" s="21">
        <v>16.2</v>
      </c>
      <c r="J218" s="21">
        <v>8.1</v>
      </c>
      <c r="K218" s="21">
        <v>44.550000000000004</v>
      </c>
      <c r="L218" s="21">
        <v>8.1</v>
      </c>
      <c r="M218" s="21">
        <v>12.15</v>
      </c>
      <c r="N218" s="21">
        <v>5.6700000000000008</v>
      </c>
      <c r="O218" s="21">
        <v>10.530000000000001</v>
      </c>
    </row>
    <row r="219" spans="1:15" x14ac:dyDescent="0.25">
      <c r="A219" s="35">
        <v>43494</v>
      </c>
      <c r="B219" s="16">
        <v>5</v>
      </c>
      <c r="C219" s="16" t="s">
        <v>6</v>
      </c>
      <c r="D219" s="21">
        <v>56</v>
      </c>
      <c r="E219" s="21">
        <v>11.200000000000001</v>
      </c>
      <c r="F219" s="21">
        <v>30.800000000000004</v>
      </c>
      <c r="G219" s="21">
        <v>14</v>
      </c>
      <c r="H219" s="21">
        <v>84</v>
      </c>
      <c r="I219" s="21">
        <v>16.8</v>
      </c>
      <c r="J219" s="21">
        <v>8.4</v>
      </c>
      <c r="K219" s="21">
        <v>46.2</v>
      </c>
      <c r="L219" s="21">
        <v>8.4</v>
      </c>
      <c r="M219" s="21">
        <v>12.6</v>
      </c>
      <c r="N219" s="21">
        <v>5.8800000000000008</v>
      </c>
      <c r="O219" s="21">
        <v>10.92</v>
      </c>
    </row>
    <row r="220" spans="1:15" x14ac:dyDescent="0.25">
      <c r="A220" s="35">
        <v>43494</v>
      </c>
      <c r="B220" s="16">
        <v>12</v>
      </c>
      <c r="C220" s="16" t="s">
        <v>72</v>
      </c>
      <c r="D220" s="21">
        <v>48</v>
      </c>
      <c r="E220" s="21">
        <v>9.6000000000000014</v>
      </c>
      <c r="F220" s="21">
        <v>26.400000000000002</v>
      </c>
      <c r="G220" s="21">
        <v>12</v>
      </c>
      <c r="H220" s="21">
        <v>72</v>
      </c>
      <c r="I220" s="21">
        <v>14.399999999999999</v>
      </c>
      <c r="J220" s="21">
        <v>7.1999999999999993</v>
      </c>
      <c r="K220" s="21">
        <v>39.6</v>
      </c>
      <c r="L220" s="21">
        <v>7.2</v>
      </c>
      <c r="M220" s="21">
        <v>10.799999999999999</v>
      </c>
      <c r="N220" s="21">
        <v>5.0400000000000009</v>
      </c>
      <c r="O220" s="21">
        <v>9.36</v>
      </c>
    </row>
    <row r="221" spans="1:15" x14ac:dyDescent="0.25">
      <c r="A221" s="35">
        <v>43494</v>
      </c>
      <c r="B221" s="16">
        <v>19</v>
      </c>
      <c r="C221" s="16" t="s">
        <v>79</v>
      </c>
      <c r="D221" s="21">
        <v>45</v>
      </c>
      <c r="E221" s="21">
        <v>9</v>
      </c>
      <c r="F221" s="21">
        <v>24.750000000000004</v>
      </c>
      <c r="G221" s="21">
        <v>11.25</v>
      </c>
      <c r="H221" s="21">
        <v>67.5</v>
      </c>
      <c r="I221" s="21">
        <v>13.5</v>
      </c>
      <c r="J221" s="21">
        <v>6.75</v>
      </c>
      <c r="K221" s="21">
        <v>37.125</v>
      </c>
      <c r="L221" s="21">
        <v>6.75</v>
      </c>
      <c r="M221" s="21">
        <v>10.125</v>
      </c>
      <c r="N221" s="21">
        <v>4.7250000000000005</v>
      </c>
      <c r="O221" s="21">
        <v>8.7750000000000004</v>
      </c>
    </row>
    <row r="222" spans="1:15" x14ac:dyDescent="0.25">
      <c r="A222" s="35">
        <v>43481</v>
      </c>
      <c r="B222" s="16">
        <v>17</v>
      </c>
      <c r="C222" s="16" t="s">
        <v>77</v>
      </c>
      <c r="D222" s="21">
        <v>22</v>
      </c>
      <c r="E222" s="21">
        <v>4.4000000000000004</v>
      </c>
      <c r="F222" s="21">
        <v>12.100000000000001</v>
      </c>
      <c r="G222" s="21">
        <v>5.5</v>
      </c>
      <c r="H222" s="21">
        <v>33</v>
      </c>
      <c r="I222" s="21">
        <v>6.6</v>
      </c>
      <c r="J222" s="21">
        <v>3.3</v>
      </c>
      <c r="K222" s="21">
        <v>18.150000000000002</v>
      </c>
      <c r="L222" s="21">
        <v>3.3000000000000003</v>
      </c>
      <c r="M222" s="21">
        <v>4.95</v>
      </c>
      <c r="N222" s="21">
        <v>2.31</v>
      </c>
      <c r="O222" s="21">
        <v>4.29</v>
      </c>
    </row>
    <row r="223" spans="1:15" x14ac:dyDescent="0.25">
      <c r="A223" s="35">
        <v>43494</v>
      </c>
      <c r="B223" s="16">
        <v>13</v>
      </c>
      <c r="C223" s="16" t="s">
        <v>73</v>
      </c>
      <c r="D223" s="21">
        <v>33</v>
      </c>
      <c r="E223" s="21">
        <v>6.6000000000000005</v>
      </c>
      <c r="F223" s="21">
        <v>18.150000000000002</v>
      </c>
      <c r="G223" s="21">
        <v>8.25</v>
      </c>
      <c r="H223" s="21">
        <v>49.5</v>
      </c>
      <c r="I223" s="21">
        <v>9.9</v>
      </c>
      <c r="J223" s="21">
        <v>4.95</v>
      </c>
      <c r="K223" s="21">
        <v>27.225000000000001</v>
      </c>
      <c r="L223" s="21">
        <v>4.95</v>
      </c>
      <c r="M223" s="21">
        <v>7.4249999999999998</v>
      </c>
      <c r="N223" s="21">
        <v>3.4650000000000003</v>
      </c>
      <c r="O223" s="21">
        <v>6.4350000000000005</v>
      </c>
    </row>
    <row r="224" spans="1:15" x14ac:dyDescent="0.25">
      <c r="A224" s="35">
        <v>43495</v>
      </c>
      <c r="B224" s="16">
        <v>20</v>
      </c>
      <c r="C224" s="16" t="s">
        <v>80</v>
      </c>
      <c r="D224" s="21">
        <v>34</v>
      </c>
      <c r="E224" s="21">
        <v>6.8000000000000007</v>
      </c>
      <c r="F224" s="21">
        <v>18.700000000000003</v>
      </c>
      <c r="G224" s="21">
        <v>8.5</v>
      </c>
      <c r="H224" s="21">
        <v>51</v>
      </c>
      <c r="I224" s="21">
        <v>10.199999999999999</v>
      </c>
      <c r="J224" s="21">
        <v>5.0999999999999996</v>
      </c>
      <c r="K224" s="21">
        <v>28.05</v>
      </c>
      <c r="L224" s="21">
        <v>5.1000000000000005</v>
      </c>
      <c r="M224" s="21">
        <v>7.6499999999999995</v>
      </c>
      <c r="N224" s="21">
        <v>3.5700000000000003</v>
      </c>
      <c r="O224" s="21">
        <v>6.63</v>
      </c>
    </row>
    <row r="225" spans="1:15" x14ac:dyDescent="0.25">
      <c r="A225" s="35">
        <v>43510</v>
      </c>
      <c r="B225" s="16">
        <v>11</v>
      </c>
      <c r="C225" s="16" t="s">
        <v>71</v>
      </c>
      <c r="D225" s="21">
        <v>635</v>
      </c>
      <c r="E225" s="21">
        <v>127</v>
      </c>
      <c r="F225" s="21">
        <v>349.25</v>
      </c>
      <c r="G225" s="21">
        <v>158.75</v>
      </c>
      <c r="H225" s="21">
        <v>952.5</v>
      </c>
      <c r="I225" s="21">
        <v>190.5</v>
      </c>
      <c r="J225" s="21">
        <v>95.25</v>
      </c>
      <c r="K225" s="21">
        <v>523.875</v>
      </c>
      <c r="L225" s="21">
        <v>95.25</v>
      </c>
      <c r="M225" s="21">
        <v>142.875</v>
      </c>
      <c r="N225" s="21">
        <v>66.675000000000011</v>
      </c>
      <c r="O225" s="21">
        <v>123.825</v>
      </c>
    </row>
    <row r="226" spans="1:15" x14ac:dyDescent="0.25">
      <c r="A226" s="35">
        <v>43510</v>
      </c>
      <c r="B226" s="16">
        <v>6</v>
      </c>
      <c r="C226" s="16" t="s">
        <v>68</v>
      </c>
      <c r="D226" s="21">
        <v>56</v>
      </c>
      <c r="E226" s="21">
        <v>11.200000000000001</v>
      </c>
      <c r="F226" s="21">
        <v>30.800000000000004</v>
      </c>
      <c r="G226" s="21">
        <v>14</v>
      </c>
      <c r="H226" s="21">
        <v>84</v>
      </c>
      <c r="I226" s="21">
        <v>16.8</v>
      </c>
      <c r="J226" s="21">
        <v>8.4</v>
      </c>
      <c r="K226" s="21">
        <v>46.2</v>
      </c>
      <c r="L226" s="21">
        <v>8.4</v>
      </c>
      <c r="M226" s="21">
        <v>12.6</v>
      </c>
      <c r="N226" s="21">
        <v>5.8800000000000008</v>
      </c>
      <c r="O226" s="21">
        <v>10.92</v>
      </c>
    </row>
    <row r="227" spans="1:15" x14ac:dyDescent="0.25">
      <c r="A227" s="35">
        <v>43510</v>
      </c>
      <c r="B227" s="16">
        <v>15</v>
      </c>
      <c r="C227" s="16" t="s">
        <v>75</v>
      </c>
      <c r="D227" s="21">
        <v>45</v>
      </c>
      <c r="E227" s="21">
        <v>9</v>
      </c>
      <c r="F227" s="21">
        <v>24.750000000000004</v>
      </c>
      <c r="G227" s="21">
        <v>11.25</v>
      </c>
      <c r="H227" s="21">
        <v>67.5</v>
      </c>
      <c r="I227" s="21">
        <v>13.5</v>
      </c>
      <c r="J227" s="21">
        <v>6.75</v>
      </c>
      <c r="K227" s="21">
        <v>37.125</v>
      </c>
      <c r="L227" s="21">
        <v>6.75</v>
      </c>
      <c r="M227" s="21">
        <v>10.125</v>
      </c>
      <c r="N227" s="21">
        <v>4.7250000000000005</v>
      </c>
      <c r="O227" s="21">
        <v>8.7750000000000004</v>
      </c>
    </row>
    <row r="228" spans="1:15" x14ac:dyDescent="0.25">
      <c r="A228" s="35">
        <v>43511</v>
      </c>
      <c r="B228" s="16">
        <v>8</v>
      </c>
      <c r="C228" s="16" t="s">
        <v>4</v>
      </c>
      <c r="D228" s="21">
        <v>65</v>
      </c>
      <c r="E228" s="21">
        <v>13</v>
      </c>
      <c r="F228" s="21">
        <v>35.75</v>
      </c>
      <c r="G228" s="21">
        <v>16.25</v>
      </c>
      <c r="H228" s="21">
        <v>97.5</v>
      </c>
      <c r="I228" s="21">
        <v>19.5</v>
      </c>
      <c r="J228" s="21">
        <v>9.75</v>
      </c>
      <c r="K228" s="21">
        <v>53.625000000000007</v>
      </c>
      <c r="L228" s="21">
        <v>9.75</v>
      </c>
      <c r="M228" s="21">
        <v>14.625</v>
      </c>
      <c r="N228" s="21">
        <v>6.8250000000000011</v>
      </c>
      <c r="O228" s="21">
        <v>12.675000000000001</v>
      </c>
    </row>
    <row r="229" spans="1:15" x14ac:dyDescent="0.25">
      <c r="A229" s="35">
        <v>43511</v>
      </c>
      <c r="B229" s="16">
        <v>7</v>
      </c>
      <c r="C229" s="16" t="s">
        <v>69</v>
      </c>
      <c r="D229" s="21">
        <v>23</v>
      </c>
      <c r="E229" s="21">
        <v>4.6000000000000005</v>
      </c>
      <c r="F229" s="21">
        <v>12.65</v>
      </c>
      <c r="G229" s="21">
        <v>5.75</v>
      </c>
      <c r="H229" s="21">
        <v>34.5</v>
      </c>
      <c r="I229" s="21">
        <v>6.8999999999999995</v>
      </c>
      <c r="J229" s="21">
        <v>3.4499999999999997</v>
      </c>
      <c r="K229" s="21">
        <v>18.975000000000001</v>
      </c>
      <c r="L229" s="21">
        <v>3.45</v>
      </c>
      <c r="M229" s="21">
        <v>5.1749999999999998</v>
      </c>
      <c r="N229" s="21">
        <v>2.415</v>
      </c>
      <c r="O229" s="21">
        <v>4.4850000000000003</v>
      </c>
    </row>
    <row r="230" spans="1:15" x14ac:dyDescent="0.25">
      <c r="A230" s="35">
        <v>43511</v>
      </c>
      <c r="B230" s="16">
        <v>10</v>
      </c>
      <c r="C230" s="16" t="s">
        <v>5</v>
      </c>
      <c r="D230" s="21">
        <v>65</v>
      </c>
      <c r="E230" s="21">
        <v>13</v>
      </c>
      <c r="F230" s="21">
        <v>35.75</v>
      </c>
      <c r="G230" s="21">
        <v>16.25</v>
      </c>
      <c r="H230" s="21">
        <v>97.5</v>
      </c>
      <c r="I230" s="21">
        <v>19.5</v>
      </c>
      <c r="J230" s="21">
        <v>9.75</v>
      </c>
      <c r="K230" s="21">
        <v>53.625000000000007</v>
      </c>
      <c r="L230" s="21">
        <v>9.75</v>
      </c>
      <c r="M230" s="21">
        <v>14.625</v>
      </c>
      <c r="N230" s="21">
        <v>6.8250000000000011</v>
      </c>
      <c r="O230" s="21">
        <v>12.675000000000001</v>
      </c>
    </row>
    <row r="231" spans="1:15" x14ac:dyDescent="0.25">
      <c r="A231" s="35">
        <v>43514</v>
      </c>
      <c r="B231" s="16">
        <v>21</v>
      </c>
      <c r="C231" s="16" t="s">
        <v>81</v>
      </c>
      <c r="D231" s="21">
        <v>60</v>
      </c>
      <c r="E231" s="21">
        <v>12</v>
      </c>
      <c r="F231" s="21">
        <v>33</v>
      </c>
      <c r="G231" s="21">
        <v>15</v>
      </c>
      <c r="H231" s="21">
        <v>90</v>
      </c>
      <c r="I231" s="21">
        <v>18</v>
      </c>
      <c r="J231" s="21">
        <v>9</v>
      </c>
      <c r="K231" s="21">
        <v>49.500000000000007</v>
      </c>
      <c r="L231" s="21">
        <v>9</v>
      </c>
      <c r="M231" s="21">
        <v>13.5</v>
      </c>
      <c r="N231" s="21">
        <v>6.3000000000000007</v>
      </c>
      <c r="O231" s="21">
        <v>11.700000000000001</v>
      </c>
    </row>
    <row r="232" spans="1:15" x14ac:dyDescent="0.25">
      <c r="A232" s="35">
        <v>43496</v>
      </c>
      <c r="B232" s="16">
        <v>14</v>
      </c>
      <c r="C232" s="16" t="s">
        <v>74</v>
      </c>
      <c r="D232" s="21">
        <v>50</v>
      </c>
      <c r="E232" s="21">
        <v>10</v>
      </c>
      <c r="F232" s="21">
        <v>27.500000000000004</v>
      </c>
      <c r="G232" s="21">
        <v>12.5</v>
      </c>
      <c r="H232" s="21">
        <v>75</v>
      </c>
      <c r="I232" s="21">
        <v>15</v>
      </c>
      <c r="J232" s="21">
        <v>7.5</v>
      </c>
      <c r="K232" s="21">
        <v>41.25</v>
      </c>
      <c r="L232" s="21">
        <v>7.5</v>
      </c>
      <c r="M232" s="21">
        <v>11.25</v>
      </c>
      <c r="N232" s="21">
        <v>5.2500000000000009</v>
      </c>
      <c r="O232" s="21">
        <v>9.75</v>
      </c>
    </row>
    <row r="233" spans="1:15" x14ac:dyDescent="0.25">
      <c r="A233" s="35">
        <v>43496</v>
      </c>
      <c r="B233" s="16">
        <v>4</v>
      </c>
      <c r="C233" s="16" t="s">
        <v>67</v>
      </c>
      <c r="D233" s="21">
        <v>40</v>
      </c>
      <c r="E233" s="21">
        <v>8</v>
      </c>
      <c r="F233" s="21">
        <v>22</v>
      </c>
      <c r="G233" s="21">
        <v>10</v>
      </c>
      <c r="H233" s="21">
        <v>60</v>
      </c>
      <c r="I233" s="21">
        <v>12</v>
      </c>
      <c r="J233" s="21">
        <v>6</v>
      </c>
      <c r="K233" s="21">
        <v>33</v>
      </c>
      <c r="L233" s="21">
        <v>6</v>
      </c>
      <c r="M233" s="21">
        <v>9</v>
      </c>
      <c r="N233" s="21">
        <v>4.2</v>
      </c>
      <c r="O233" s="21">
        <v>7.8000000000000007</v>
      </c>
    </row>
    <row r="234" spans="1:15" x14ac:dyDescent="0.25">
      <c r="A234" s="35">
        <v>43496</v>
      </c>
      <c r="B234" s="16">
        <v>16</v>
      </c>
      <c r="C234" s="16" t="s">
        <v>76</v>
      </c>
      <c r="D234" s="21">
        <v>60</v>
      </c>
      <c r="E234" s="21">
        <v>12</v>
      </c>
      <c r="F234" s="21">
        <v>33</v>
      </c>
      <c r="G234" s="21">
        <v>15</v>
      </c>
      <c r="H234" s="21">
        <v>90</v>
      </c>
      <c r="I234" s="21">
        <v>18</v>
      </c>
      <c r="J234" s="21">
        <v>9</v>
      </c>
      <c r="K234" s="21">
        <v>49.500000000000007</v>
      </c>
      <c r="L234" s="21">
        <v>9</v>
      </c>
      <c r="M234" s="21">
        <v>13.5</v>
      </c>
      <c r="N234" s="21">
        <v>6.3000000000000007</v>
      </c>
      <c r="O234" s="21">
        <v>11.700000000000001</v>
      </c>
    </row>
    <row r="235" spans="1:15" x14ac:dyDescent="0.25">
      <c r="A235" s="35">
        <v>43497</v>
      </c>
      <c r="B235" s="16">
        <v>3</v>
      </c>
      <c r="C235" s="16" t="s">
        <v>66</v>
      </c>
      <c r="D235" s="21">
        <v>30</v>
      </c>
      <c r="E235" s="21">
        <v>6</v>
      </c>
      <c r="F235" s="21">
        <v>16.5</v>
      </c>
      <c r="G235" s="21">
        <v>7.5</v>
      </c>
      <c r="H235" s="21">
        <v>45</v>
      </c>
      <c r="I235" s="21">
        <v>9</v>
      </c>
      <c r="J235" s="21">
        <v>4.5</v>
      </c>
      <c r="K235" s="21">
        <v>24.750000000000004</v>
      </c>
      <c r="L235" s="21">
        <v>4.5</v>
      </c>
      <c r="M235" s="21">
        <v>6.75</v>
      </c>
      <c r="N235" s="21">
        <v>3.1500000000000004</v>
      </c>
      <c r="O235" s="21">
        <v>5.8500000000000005</v>
      </c>
    </row>
    <row r="236" spans="1:15" x14ac:dyDescent="0.25">
      <c r="A236" s="35">
        <v>43498</v>
      </c>
      <c r="B236" s="16">
        <v>2</v>
      </c>
      <c r="C236" s="16" t="s">
        <v>65</v>
      </c>
      <c r="D236" s="21">
        <v>32</v>
      </c>
      <c r="E236" s="21">
        <v>6.4</v>
      </c>
      <c r="F236" s="21">
        <v>17.600000000000001</v>
      </c>
      <c r="G236" s="21">
        <v>8</v>
      </c>
      <c r="H236" s="21">
        <v>48</v>
      </c>
      <c r="I236" s="21">
        <v>9.6</v>
      </c>
      <c r="J236" s="21">
        <v>4.8</v>
      </c>
      <c r="K236" s="21">
        <v>26.400000000000002</v>
      </c>
      <c r="L236" s="21">
        <v>4.8000000000000007</v>
      </c>
      <c r="M236" s="21">
        <v>7.1999999999999993</v>
      </c>
      <c r="N236" s="21">
        <v>3.3600000000000003</v>
      </c>
      <c r="O236" s="21">
        <v>6.24</v>
      </c>
    </row>
    <row r="237" spans="1:15" x14ac:dyDescent="0.25">
      <c r="A237" s="35">
        <v>43500</v>
      </c>
      <c r="B237" s="16">
        <v>1</v>
      </c>
      <c r="C237" s="16" t="s">
        <v>3</v>
      </c>
      <c r="D237" s="21">
        <v>32</v>
      </c>
      <c r="E237" s="21">
        <v>6.4</v>
      </c>
      <c r="F237" s="21">
        <v>17.600000000000001</v>
      </c>
      <c r="G237" s="21">
        <v>8</v>
      </c>
      <c r="H237" s="21">
        <v>48</v>
      </c>
      <c r="I237" s="21">
        <v>9.6</v>
      </c>
      <c r="J237" s="21">
        <v>4.8</v>
      </c>
      <c r="K237" s="21">
        <v>26.400000000000002</v>
      </c>
      <c r="L237" s="21">
        <v>4.8000000000000007</v>
      </c>
      <c r="M237" s="21">
        <v>7.1999999999999993</v>
      </c>
      <c r="N237" s="21">
        <v>3.3600000000000003</v>
      </c>
      <c r="O237" s="21">
        <v>6.24</v>
      </c>
    </row>
    <row r="238" spans="1:15" x14ac:dyDescent="0.25">
      <c r="A238" s="35">
        <v>43500</v>
      </c>
      <c r="B238" s="16">
        <v>18</v>
      </c>
      <c r="C238" s="16" t="s">
        <v>78</v>
      </c>
      <c r="D238" s="21">
        <v>65</v>
      </c>
      <c r="E238" s="21">
        <v>13</v>
      </c>
      <c r="F238" s="21">
        <v>35.75</v>
      </c>
      <c r="G238" s="21">
        <v>16.25</v>
      </c>
      <c r="H238" s="21">
        <v>97.5</v>
      </c>
      <c r="I238" s="21">
        <v>19.5</v>
      </c>
      <c r="J238" s="21">
        <v>9.75</v>
      </c>
      <c r="K238" s="21">
        <v>53.625000000000007</v>
      </c>
      <c r="L238" s="21">
        <v>9.75</v>
      </c>
      <c r="M238" s="21">
        <v>14.625</v>
      </c>
      <c r="N238" s="21">
        <v>6.8250000000000011</v>
      </c>
      <c r="O238" s="21">
        <v>12.675000000000001</v>
      </c>
    </row>
    <row r="239" spans="1:15" x14ac:dyDescent="0.25">
      <c r="A239" s="35">
        <v>43500</v>
      </c>
      <c r="B239" s="16">
        <v>9</v>
      </c>
      <c r="C239" s="16" t="s">
        <v>70</v>
      </c>
      <c r="D239" s="21">
        <v>65</v>
      </c>
      <c r="E239" s="21">
        <v>13</v>
      </c>
      <c r="F239" s="21">
        <v>35.75</v>
      </c>
      <c r="G239" s="21">
        <v>16.25</v>
      </c>
      <c r="H239" s="21">
        <v>97.5</v>
      </c>
      <c r="I239" s="21">
        <v>19.5</v>
      </c>
      <c r="J239" s="21">
        <v>9.75</v>
      </c>
      <c r="K239" s="21">
        <v>53.625000000000007</v>
      </c>
      <c r="L239" s="21">
        <v>9.75</v>
      </c>
      <c r="M239" s="21">
        <v>14.625</v>
      </c>
      <c r="N239" s="21">
        <v>6.8250000000000011</v>
      </c>
      <c r="O239" s="21">
        <v>12.675000000000001</v>
      </c>
    </row>
    <row r="240" spans="1:15" x14ac:dyDescent="0.25">
      <c r="A240" s="35">
        <v>43515</v>
      </c>
      <c r="B240" s="16">
        <v>6</v>
      </c>
      <c r="C240" s="16" t="s">
        <v>68</v>
      </c>
      <c r="D240" s="21">
        <v>45</v>
      </c>
      <c r="E240" s="21">
        <v>9</v>
      </c>
      <c r="F240" s="21">
        <v>24.750000000000004</v>
      </c>
      <c r="G240" s="21">
        <v>11.25</v>
      </c>
      <c r="H240" s="21">
        <v>67.5</v>
      </c>
      <c r="I240" s="21">
        <v>13.5</v>
      </c>
      <c r="J240" s="21">
        <v>6.75</v>
      </c>
      <c r="K240" s="21">
        <v>37.125</v>
      </c>
      <c r="L240" s="21">
        <v>6.75</v>
      </c>
      <c r="M240" s="21">
        <v>10.125</v>
      </c>
      <c r="N240" s="21">
        <v>4.7250000000000005</v>
      </c>
      <c r="O240" s="21">
        <v>8.7750000000000004</v>
      </c>
    </row>
    <row r="241" spans="1:15" x14ac:dyDescent="0.25">
      <c r="A241" s="35">
        <v>43514</v>
      </c>
      <c r="B241" s="16">
        <v>15</v>
      </c>
      <c r="C241" s="16" t="s">
        <v>75</v>
      </c>
      <c r="D241" s="21">
        <v>25</v>
      </c>
      <c r="E241" s="21">
        <v>5</v>
      </c>
      <c r="F241" s="21">
        <v>13.750000000000002</v>
      </c>
      <c r="G241" s="21">
        <v>6.25</v>
      </c>
      <c r="H241" s="21">
        <v>37.5</v>
      </c>
      <c r="I241" s="21">
        <v>7.5</v>
      </c>
      <c r="J241" s="21">
        <v>3.75</v>
      </c>
      <c r="K241" s="21">
        <v>20.625</v>
      </c>
      <c r="L241" s="21">
        <v>3.75</v>
      </c>
      <c r="M241" s="21">
        <v>5.625</v>
      </c>
      <c r="N241" s="21">
        <v>2.6250000000000004</v>
      </c>
      <c r="O241" s="21">
        <v>4.875</v>
      </c>
    </row>
    <row r="242" spans="1:15" x14ac:dyDescent="0.25">
      <c r="A242" s="35">
        <v>43514</v>
      </c>
      <c r="B242" s="16">
        <v>8</v>
      </c>
      <c r="C242" s="16" t="s">
        <v>4</v>
      </c>
      <c r="D242" s="21">
        <v>36</v>
      </c>
      <c r="E242" s="21">
        <v>7.2</v>
      </c>
      <c r="F242" s="21">
        <v>19.8</v>
      </c>
      <c r="G242" s="21">
        <v>9</v>
      </c>
      <c r="H242" s="21">
        <v>54</v>
      </c>
      <c r="I242" s="21">
        <v>10.799999999999999</v>
      </c>
      <c r="J242" s="21">
        <v>5.3999999999999995</v>
      </c>
      <c r="K242" s="21">
        <v>29.700000000000003</v>
      </c>
      <c r="L242" s="21">
        <v>5.4</v>
      </c>
      <c r="M242" s="21">
        <v>8.1</v>
      </c>
      <c r="N242" s="21">
        <v>3.7800000000000002</v>
      </c>
      <c r="O242" s="21">
        <v>7.0200000000000005</v>
      </c>
    </row>
    <row r="243" spans="1:15" x14ac:dyDescent="0.25">
      <c r="A243" s="35">
        <v>43514</v>
      </c>
      <c r="B243" s="16">
        <v>7</v>
      </c>
      <c r="C243" s="16" t="s">
        <v>69</v>
      </c>
      <c r="D243" s="21">
        <v>63</v>
      </c>
      <c r="E243" s="21">
        <v>12.600000000000001</v>
      </c>
      <c r="F243" s="21">
        <v>34.650000000000006</v>
      </c>
      <c r="G243" s="21">
        <v>15.75</v>
      </c>
      <c r="H243" s="21">
        <v>94.5</v>
      </c>
      <c r="I243" s="21">
        <v>18.899999999999999</v>
      </c>
      <c r="J243" s="21">
        <v>9.4499999999999993</v>
      </c>
      <c r="K243" s="21">
        <v>51.975000000000001</v>
      </c>
      <c r="L243" s="21">
        <v>9.4500000000000011</v>
      </c>
      <c r="M243" s="21">
        <v>14.174999999999999</v>
      </c>
      <c r="N243" s="21">
        <v>6.6150000000000002</v>
      </c>
      <c r="O243" s="21">
        <v>12.285</v>
      </c>
    </row>
    <row r="244" spans="1:15" x14ac:dyDescent="0.25">
      <c r="A244" s="35">
        <v>43514</v>
      </c>
      <c r="B244" s="16">
        <v>10</v>
      </c>
      <c r="C244" s="16" t="s">
        <v>5</v>
      </c>
      <c r="D244" s="21">
        <v>52</v>
      </c>
      <c r="E244" s="21">
        <v>10.4</v>
      </c>
      <c r="F244" s="21">
        <v>28.6</v>
      </c>
      <c r="G244" s="21">
        <v>13</v>
      </c>
      <c r="H244" s="21">
        <v>78</v>
      </c>
      <c r="I244" s="21">
        <v>15.6</v>
      </c>
      <c r="J244" s="21">
        <v>7.8</v>
      </c>
      <c r="K244" s="21">
        <v>42.900000000000006</v>
      </c>
      <c r="L244" s="21">
        <v>7.8000000000000007</v>
      </c>
      <c r="M244" s="21">
        <v>11.7</v>
      </c>
      <c r="N244" s="21">
        <v>5.4600000000000009</v>
      </c>
      <c r="O244" s="21">
        <v>10.14</v>
      </c>
    </row>
    <row r="245" spans="1:15" x14ac:dyDescent="0.25">
      <c r="A245" s="35">
        <v>43514</v>
      </c>
      <c r="B245" s="16">
        <v>21</v>
      </c>
      <c r="C245" s="16" t="s">
        <v>81</v>
      </c>
      <c r="D245" s="21">
        <v>45</v>
      </c>
      <c r="E245" s="21">
        <v>9</v>
      </c>
      <c r="F245" s="21">
        <v>24.750000000000004</v>
      </c>
      <c r="G245" s="21">
        <v>11.25</v>
      </c>
      <c r="H245" s="21">
        <v>67.5</v>
      </c>
      <c r="I245" s="21">
        <v>13.5</v>
      </c>
      <c r="J245" s="21">
        <v>6.75</v>
      </c>
      <c r="K245" s="21">
        <v>37.125</v>
      </c>
      <c r="L245" s="21">
        <v>6.75</v>
      </c>
      <c r="M245" s="21">
        <v>10.125</v>
      </c>
      <c r="N245" s="21">
        <v>4.7250000000000005</v>
      </c>
      <c r="O245" s="21">
        <v>8.7750000000000004</v>
      </c>
    </row>
    <row r="246" spans="1:15" x14ac:dyDescent="0.25">
      <c r="A246" s="35">
        <v>43515</v>
      </c>
      <c r="B246" s="16">
        <v>14</v>
      </c>
      <c r="C246" s="16" t="s">
        <v>74</v>
      </c>
      <c r="D246" s="21">
        <v>65</v>
      </c>
      <c r="E246" s="21">
        <v>13</v>
      </c>
      <c r="F246" s="21">
        <v>35.75</v>
      </c>
      <c r="G246" s="21">
        <v>16.25</v>
      </c>
      <c r="H246" s="21">
        <v>97.5</v>
      </c>
      <c r="I246" s="21">
        <v>19.5</v>
      </c>
      <c r="J246" s="21">
        <v>9.75</v>
      </c>
      <c r="K246" s="21">
        <v>53.625000000000007</v>
      </c>
      <c r="L246" s="21">
        <v>9.75</v>
      </c>
      <c r="M246" s="21">
        <v>14.625</v>
      </c>
      <c r="N246" s="21">
        <v>6.8250000000000011</v>
      </c>
      <c r="O246" s="21">
        <v>12.675000000000001</v>
      </c>
    </row>
    <row r="247" spans="1:15" x14ac:dyDescent="0.25">
      <c r="A247" s="35">
        <v>43515</v>
      </c>
      <c r="B247" s="16">
        <v>5</v>
      </c>
      <c r="C247" s="16" t="s">
        <v>6</v>
      </c>
      <c r="D247" s="21">
        <v>56</v>
      </c>
      <c r="E247" s="21">
        <v>11.200000000000001</v>
      </c>
      <c r="F247" s="21">
        <v>30.800000000000004</v>
      </c>
      <c r="G247" s="21">
        <v>14</v>
      </c>
      <c r="H247" s="21">
        <v>84</v>
      </c>
      <c r="I247" s="21">
        <v>16.8</v>
      </c>
      <c r="J247" s="21">
        <v>8.4</v>
      </c>
      <c r="K247" s="21">
        <v>46.2</v>
      </c>
      <c r="L247" s="21">
        <v>8.4</v>
      </c>
      <c r="M247" s="21">
        <v>12.6</v>
      </c>
      <c r="N247" s="21">
        <v>5.8800000000000008</v>
      </c>
      <c r="O247" s="21">
        <v>10.92</v>
      </c>
    </row>
    <row r="248" spans="1:15" x14ac:dyDescent="0.25">
      <c r="A248" s="35">
        <v>43515</v>
      </c>
      <c r="B248" s="16">
        <v>12</v>
      </c>
      <c r="C248" s="16" t="s">
        <v>72</v>
      </c>
      <c r="D248" s="21">
        <v>65</v>
      </c>
      <c r="E248" s="21">
        <v>13</v>
      </c>
      <c r="F248" s="21">
        <v>35.75</v>
      </c>
      <c r="G248" s="21">
        <v>16.25</v>
      </c>
      <c r="H248" s="21">
        <v>97.5</v>
      </c>
      <c r="I248" s="21">
        <v>19.5</v>
      </c>
      <c r="J248" s="21">
        <v>9.75</v>
      </c>
      <c r="K248" s="21">
        <v>53.625000000000007</v>
      </c>
      <c r="L248" s="21">
        <v>9.75</v>
      </c>
      <c r="M248" s="21">
        <v>14.625</v>
      </c>
      <c r="N248" s="21">
        <v>6.8250000000000011</v>
      </c>
      <c r="O248" s="21">
        <v>12.675000000000001</v>
      </c>
    </row>
    <row r="249" spans="1:15" x14ac:dyDescent="0.25">
      <c r="A249" s="35">
        <v>43515</v>
      </c>
      <c r="B249" s="16">
        <v>19</v>
      </c>
      <c r="C249" s="16" t="s">
        <v>79</v>
      </c>
      <c r="D249" s="21">
        <v>35</v>
      </c>
      <c r="E249" s="21">
        <v>7</v>
      </c>
      <c r="F249" s="21">
        <v>19.25</v>
      </c>
      <c r="G249" s="21">
        <v>8.75</v>
      </c>
      <c r="H249" s="21">
        <v>52.5</v>
      </c>
      <c r="I249" s="21">
        <v>10.5</v>
      </c>
      <c r="J249" s="21">
        <v>5.25</v>
      </c>
      <c r="K249" s="21">
        <v>28.875000000000004</v>
      </c>
      <c r="L249" s="21">
        <v>5.25</v>
      </c>
      <c r="M249" s="21">
        <v>7.875</v>
      </c>
      <c r="N249" s="21">
        <v>3.6750000000000003</v>
      </c>
      <c r="O249" s="21">
        <v>6.8250000000000002</v>
      </c>
    </row>
    <row r="250" spans="1:15" x14ac:dyDescent="0.25">
      <c r="A250" s="35">
        <v>43515</v>
      </c>
      <c r="B250" s="16">
        <v>17</v>
      </c>
      <c r="C250" s="16" t="s">
        <v>77</v>
      </c>
      <c r="D250" s="21">
        <v>54</v>
      </c>
      <c r="E250" s="21">
        <v>10.8</v>
      </c>
      <c r="F250" s="21">
        <v>29.700000000000003</v>
      </c>
      <c r="G250" s="21">
        <v>13.5</v>
      </c>
      <c r="H250" s="21">
        <v>81</v>
      </c>
      <c r="I250" s="21">
        <v>16.2</v>
      </c>
      <c r="J250" s="21">
        <v>8.1</v>
      </c>
      <c r="K250" s="21">
        <v>44.550000000000004</v>
      </c>
      <c r="L250" s="21">
        <v>8.1</v>
      </c>
      <c r="M250" s="21">
        <v>12.15</v>
      </c>
      <c r="N250" s="21">
        <v>5.6700000000000008</v>
      </c>
      <c r="O250" s="21">
        <v>10.530000000000001</v>
      </c>
    </row>
    <row r="251" spans="1:15" x14ac:dyDescent="0.25">
      <c r="A251" s="35">
        <v>43515</v>
      </c>
      <c r="B251" s="16">
        <v>13</v>
      </c>
      <c r="C251" s="16" t="s">
        <v>73</v>
      </c>
      <c r="D251" s="21">
        <v>56</v>
      </c>
      <c r="E251" s="21">
        <v>11.200000000000001</v>
      </c>
      <c r="F251" s="21">
        <v>30.800000000000004</v>
      </c>
      <c r="G251" s="21">
        <v>14</v>
      </c>
      <c r="H251" s="21">
        <v>84</v>
      </c>
      <c r="I251" s="21">
        <v>16.8</v>
      </c>
      <c r="J251" s="21">
        <v>8.4</v>
      </c>
      <c r="K251" s="21">
        <v>46.2</v>
      </c>
      <c r="L251" s="21">
        <v>8.4</v>
      </c>
      <c r="M251" s="21">
        <v>12.6</v>
      </c>
      <c r="N251" s="21">
        <v>5.8800000000000008</v>
      </c>
      <c r="O251" s="21">
        <v>10.92</v>
      </c>
    </row>
    <row r="252" spans="1:15" x14ac:dyDescent="0.25">
      <c r="A252" s="35">
        <v>43487</v>
      </c>
      <c r="B252" s="16">
        <v>20</v>
      </c>
      <c r="C252" s="16" t="s">
        <v>80</v>
      </c>
      <c r="D252" s="21">
        <v>48</v>
      </c>
      <c r="E252" s="21">
        <v>9.6000000000000014</v>
      </c>
      <c r="F252" s="21">
        <v>26.400000000000002</v>
      </c>
      <c r="G252" s="21">
        <v>12</v>
      </c>
      <c r="H252" s="21">
        <v>72</v>
      </c>
      <c r="I252" s="21">
        <v>14.399999999999999</v>
      </c>
      <c r="J252" s="21">
        <v>7.1999999999999993</v>
      </c>
      <c r="K252" s="21">
        <v>39.6</v>
      </c>
      <c r="L252" s="21">
        <v>7.2</v>
      </c>
      <c r="M252" s="21">
        <v>10.799999999999999</v>
      </c>
      <c r="N252" s="21">
        <v>5.0400000000000009</v>
      </c>
      <c r="O252" s="21">
        <v>9.36</v>
      </c>
    </row>
    <row r="253" spans="1:15" x14ac:dyDescent="0.25">
      <c r="A253" s="35">
        <v>43487</v>
      </c>
      <c r="B253" s="16">
        <v>11</v>
      </c>
      <c r="C253" s="16" t="s">
        <v>71</v>
      </c>
      <c r="D253" s="21">
        <v>45</v>
      </c>
      <c r="E253" s="21">
        <v>9</v>
      </c>
      <c r="F253" s="21">
        <v>24.750000000000004</v>
      </c>
      <c r="G253" s="21">
        <v>11.25</v>
      </c>
      <c r="H253" s="21">
        <v>67.5</v>
      </c>
      <c r="I253" s="21">
        <v>13.5</v>
      </c>
      <c r="J253" s="21">
        <v>6.75</v>
      </c>
      <c r="K253" s="21">
        <v>37.125</v>
      </c>
      <c r="L253" s="21">
        <v>6.75</v>
      </c>
      <c r="M253" s="21">
        <v>10.125</v>
      </c>
      <c r="N253" s="21">
        <v>4.7250000000000005</v>
      </c>
      <c r="O253" s="21">
        <v>8.7750000000000004</v>
      </c>
    </row>
    <row r="254" spans="1:15" x14ac:dyDescent="0.25">
      <c r="A254" s="35">
        <v>43487</v>
      </c>
      <c r="B254" s="16">
        <v>5</v>
      </c>
      <c r="C254" s="16" t="s">
        <v>6</v>
      </c>
      <c r="D254" s="21">
        <v>22</v>
      </c>
      <c r="E254" s="21">
        <v>4.4000000000000004</v>
      </c>
      <c r="F254" s="21">
        <v>12.100000000000001</v>
      </c>
      <c r="G254" s="21">
        <v>5.5</v>
      </c>
      <c r="H254" s="21">
        <v>33</v>
      </c>
      <c r="I254" s="21">
        <v>6.6</v>
      </c>
      <c r="J254" s="21">
        <v>3.3</v>
      </c>
      <c r="K254" s="21">
        <v>18.150000000000002</v>
      </c>
      <c r="L254" s="21">
        <v>3.3000000000000003</v>
      </c>
      <c r="M254" s="21">
        <v>4.95</v>
      </c>
      <c r="N254" s="21">
        <v>2.31</v>
      </c>
      <c r="O254" s="21">
        <v>4.29</v>
      </c>
    </row>
    <row r="255" spans="1:15" x14ac:dyDescent="0.25">
      <c r="A255" s="35">
        <v>43501</v>
      </c>
      <c r="B255" s="16">
        <v>12</v>
      </c>
      <c r="C255" s="16" t="s">
        <v>72</v>
      </c>
      <c r="D255" s="21">
        <v>33</v>
      </c>
      <c r="E255" s="21">
        <v>6.6000000000000005</v>
      </c>
      <c r="F255" s="21">
        <v>18.150000000000002</v>
      </c>
      <c r="G255" s="21">
        <v>8.25</v>
      </c>
      <c r="H255" s="21">
        <v>49.5</v>
      </c>
      <c r="I255" s="21">
        <v>9.9</v>
      </c>
      <c r="J255" s="21">
        <v>4.95</v>
      </c>
      <c r="K255" s="21">
        <v>27.225000000000001</v>
      </c>
      <c r="L255" s="21">
        <v>4.95</v>
      </c>
      <c r="M255" s="21">
        <v>7.4249999999999998</v>
      </c>
      <c r="N255" s="21">
        <v>3.4650000000000003</v>
      </c>
      <c r="O255" s="21">
        <v>6.4350000000000005</v>
      </c>
    </row>
    <row r="256" spans="1:15" x14ac:dyDescent="0.25">
      <c r="A256" s="35">
        <v>43502</v>
      </c>
      <c r="B256" s="16">
        <v>19</v>
      </c>
      <c r="C256" s="16" t="s">
        <v>79</v>
      </c>
      <c r="D256" s="21">
        <v>34</v>
      </c>
      <c r="E256" s="21">
        <v>6.8000000000000007</v>
      </c>
      <c r="F256" s="21">
        <v>18.700000000000003</v>
      </c>
      <c r="G256" s="21">
        <v>8.5</v>
      </c>
      <c r="H256" s="21">
        <v>51</v>
      </c>
      <c r="I256" s="21">
        <v>10.199999999999999</v>
      </c>
      <c r="J256" s="21">
        <v>5.0999999999999996</v>
      </c>
      <c r="K256" s="21">
        <v>28.05</v>
      </c>
      <c r="L256" s="21">
        <v>5.1000000000000005</v>
      </c>
      <c r="M256" s="21">
        <v>7.6499999999999995</v>
      </c>
      <c r="N256" s="21">
        <v>3.5700000000000003</v>
      </c>
      <c r="O256" s="21">
        <v>6.63</v>
      </c>
    </row>
    <row r="257" spans="1:15" x14ac:dyDescent="0.25">
      <c r="A257" s="35">
        <v>43502</v>
      </c>
      <c r="B257" s="16">
        <v>4</v>
      </c>
      <c r="C257" s="16" t="s">
        <v>67</v>
      </c>
      <c r="D257" s="21">
        <v>635</v>
      </c>
      <c r="E257" s="21">
        <v>127</v>
      </c>
      <c r="F257" s="21">
        <v>349.25</v>
      </c>
      <c r="G257" s="21">
        <v>158.75</v>
      </c>
      <c r="H257" s="21">
        <v>952.5</v>
      </c>
      <c r="I257" s="21">
        <v>190.5</v>
      </c>
      <c r="J257" s="21">
        <v>95.25</v>
      </c>
      <c r="K257" s="21">
        <v>523.875</v>
      </c>
      <c r="L257" s="21">
        <v>95.25</v>
      </c>
      <c r="M257" s="21">
        <v>142.875</v>
      </c>
      <c r="N257" s="21">
        <v>66.675000000000011</v>
      </c>
      <c r="O257" s="21">
        <v>123.825</v>
      </c>
    </row>
    <row r="258" spans="1:15" x14ac:dyDescent="0.25">
      <c r="A258" s="35">
        <v>43502</v>
      </c>
      <c r="B258" s="16">
        <v>16</v>
      </c>
      <c r="C258" s="16" t="s">
        <v>76</v>
      </c>
      <c r="D258" s="21">
        <v>56</v>
      </c>
      <c r="E258" s="21">
        <v>11.200000000000001</v>
      </c>
      <c r="F258" s="21">
        <v>30.800000000000004</v>
      </c>
      <c r="G258" s="21">
        <v>14</v>
      </c>
      <c r="H258" s="21">
        <v>84</v>
      </c>
      <c r="I258" s="21">
        <v>16.8</v>
      </c>
      <c r="J258" s="21">
        <v>8.4</v>
      </c>
      <c r="K258" s="21">
        <v>46.2</v>
      </c>
      <c r="L258" s="21">
        <v>8.4</v>
      </c>
      <c r="M258" s="21">
        <v>12.6</v>
      </c>
      <c r="N258" s="21">
        <v>5.8800000000000008</v>
      </c>
      <c r="O258" s="21">
        <v>10.92</v>
      </c>
    </row>
    <row r="259" spans="1:15" x14ac:dyDescent="0.25">
      <c r="A259" s="35">
        <v>43517</v>
      </c>
      <c r="B259" s="16">
        <v>3</v>
      </c>
      <c r="C259" s="16" t="s">
        <v>66</v>
      </c>
      <c r="D259" s="21">
        <v>45</v>
      </c>
      <c r="E259" s="21">
        <v>9</v>
      </c>
      <c r="F259" s="21">
        <v>24.750000000000004</v>
      </c>
      <c r="G259" s="21">
        <v>11.25</v>
      </c>
      <c r="H259" s="21">
        <v>67.5</v>
      </c>
      <c r="I259" s="21">
        <v>13.5</v>
      </c>
      <c r="J259" s="21">
        <v>6.75</v>
      </c>
      <c r="K259" s="21">
        <v>37.125</v>
      </c>
      <c r="L259" s="21">
        <v>6.75</v>
      </c>
      <c r="M259" s="21">
        <v>10.125</v>
      </c>
      <c r="N259" s="21">
        <v>4.7250000000000005</v>
      </c>
      <c r="O259" s="21">
        <v>8.7750000000000004</v>
      </c>
    </row>
    <row r="260" spans="1:15" x14ac:dyDescent="0.25">
      <c r="A260" s="35">
        <v>43517</v>
      </c>
      <c r="B260" s="16">
        <v>2</v>
      </c>
      <c r="C260" s="16" t="s">
        <v>65</v>
      </c>
      <c r="D260" s="21">
        <v>65</v>
      </c>
      <c r="E260" s="21">
        <v>13</v>
      </c>
      <c r="F260" s="21">
        <v>35.75</v>
      </c>
      <c r="G260" s="21">
        <v>16.25</v>
      </c>
      <c r="H260" s="21">
        <v>97.5</v>
      </c>
      <c r="I260" s="21">
        <v>19.5</v>
      </c>
      <c r="J260" s="21">
        <v>9.75</v>
      </c>
      <c r="K260" s="21">
        <v>53.625000000000007</v>
      </c>
      <c r="L260" s="21">
        <v>9.75</v>
      </c>
      <c r="M260" s="21">
        <v>14.625</v>
      </c>
      <c r="N260" s="21">
        <v>6.8250000000000011</v>
      </c>
      <c r="O260" s="21">
        <v>12.675000000000001</v>
      </c>
    </row>
    <row r="261" spans="1:15" x14ac:dyDescent="0.25">
      <c r="A261" s="35">
        <v>43502</v>
      </c>
      <c r="B261" s="16">
        <v>1</v>
      </c>
      <c r="C261" s="16" t="s">
        <v>3</v>
      </c>
      <c r="D261" s="21">
        <v>23</v>
      </c>
      <c r="E261" s="21">
        <v>4.6000000000000005</v>
      </c>
      <c r="F261" s="21">
        <v>12.65</v>
      </c>
      <c r="G261" s="21">
        <v>5.75</v>
      </c>
      <c r="H261" s="21">
        <v>34.5</v>
      </c>
      <c r="I261" s="21">
        <v>6.8999999999999995</v>
      </c>
      <c r="J261" s="21">
        <v>3.4499999999999997</v>
      </c>
      <c r="K261" s="21">
        <v>18.975000000000001</v>
      </c>
      <c r="L261" s="21">
        <v>3.45</v>
      </c>
      <c r="M261" s="21">
        <v>5.1749999999999998</v>
      </c>
      <c r="N261" s="21">
        <v>2.415</v>
      </c>
      <c r="O261" s="21">
        <v>4.4850000000000003</v>
      </c>
    </row>
    <row r="262" spans="1:15" x14ac:dyDescent="0.25">
      <c r="A262" s="35">
        <v>43516</v>
      </c>
      <c r="B262" s="16">
        <v>18</v>
      </c>
      <c r="C262" s="16" t="s">
        <v>78</v>
      </c>
      <c r="D262" s="21">
        <v>65</v>
      </c>
      <c r="E262" s="21">
        <v>13</v>
      </c>
      <c r="F262" s="21">
        <v>35.75</v>
      </c>
      <c r="G262" s="21">
        <v>16.25</v>
      </c>
      <c r="H262" s="21">
        <v>97.5</v>
      </c>
      <c r="I262" s="21">
        <v>19.5</v>
      </c>
      <c r="J262" s="21">
        <v>9.75</v>
      </c>
      <c r="K262" s="21">
        <v>53.625000000000007</v>
      </c>
      <c r="L262" s="21">
        <v>9.75</v>
      </c>
      <c r="M262" s="21">
        <v>14.625</v>
      </c>
      <c r="N262" s="21">
        <v>6.8250000000000011</v>
      </c>
      <c r="O262" s="21">
        <v>12.675000000000001</v>
      </c>
    </row>
    <row r="263" spans="1:15" x14ac:dyDescent="0.25">
      <c r="A263" s="35">
        <v>43516</v>
      </c>
      <c r="B263" s="16">
        <v>9</v>
      </c>
      <c r="C263" s="16" t="s">
        <v>70</v>
      </c>
      <c r="D263" s="21">
        <v>60</v>
      </c>
      <c r="E263" s="21">
        <v>12</v>
      </c>
      <c r="F263" s="21">
        <v>33</v>
      </c>
      <c r="G263" s="21">
        <v>15</v>
      </c>
      <c r="H263" s="21">
        <v>90</v>
      </c>
      <c r="I263" s="21">
        <v>18</v>
      </c>
      <c r="J263" s="21">
        <v>9</v>
      </c>
      <c r="K263" s="21">
        <v>49.500000000000007</v>
      </c>
      <c r="L263" s="21">
        <v>9</v>
      </c>
      <c r="M263" s="21">
        <v>13.5</v>
      </c>
      <c r="N263" s="21">
        <v>6.3000000000000007</v>
      </c>
      <c r="O263" s="21">
        <v>11.700000000000001</v>
      </c>
    </row>
    <row r="264" spans="1:15" x14ac:dyDescent="0.25">
      <c r="A264" s="35">
        <v>43516</v>
      </c>
      <c r="B264" s="16">
        <v>6</v>
      </c>
      <c r="C264" s="16" t="s">
        <v>68</v>
      </c>
      <c r="D264" s="21">
        <v>50</v>
      </c>
      <c r="E264" s="21">
        <v>10</v>
      </c>
      <c r="F264" s="21">
        <v>27.500000000000004</v>
      </c>
      <c r="G264" s="21">
        <v>12.5</v>
      </c>
      <c r="H264" s="21">
        <v>75</v>
      </c>
      <c r="I264" s="21">
        <v>15</v>
      </c>
      <c r="J264" s="21">
        <v>7.5</v>
      </c>
      <c r="K264" s="21">
        <v>41.25</v>
      </c>
      <c r="L264" s="21">
        <v>7.5</v>
      </c>
      <c r="M264" s="21">
        <v>11.25</v>
      </c>
      <c r="N264" s="21">
        <v>5.2500000000000009</v>
      </c>
      <c r="O264" s="21">
        <v>9.75</v>
      </c>
    </row>
    <row r="265" spans="1:15" x14ac:dyDescent="0.25">
      <c r="A265" s="35">
        <v>43516</v>
      </c>
      <c r="B265" s="16">
        <v>15</v>
      </c>
      <c r="C265" s="16" t="s">
        <v>75</v>
      </c>
      <c r="D265" s="21">
        <v>40</v>
      </c>
      <c r="E265" s="21">
        <v>8</v>
      </c>
      <c r="F265" s="21">
        <v>22</v>
      </c>
      <c r="G265" s="21">
        <v>10</v>
      </c>
      <c r="H265" s="21">
        <v>60</v>
      </c>
      <c r="I265" s="21">
        <v>12</v>
      </c>
      <c r="J265" s="21">
        <v>6</v>
      </c>
      <c r="K265" s="21">
        <v>33</v>
      </c>
      <c r="L265" s="21">
        <v>6</v>
      </c>
      <c r="M265" s="21">
        <v>9</v>
      </c>
      <c r="N265" s="21">
        <v>4.2</v>
      </c>
      <c r="O265" s="21">
        <v>7.8000000000000007</v>
      </c>
    </row>
    <row r="266" spans="1:15" x14ac:dyDescent="0.25">
      <c r="A266" s="35">
        <v>43516</v>
      </c>
      <c r="B266" s="16">
        <v>8</v>
      </c>
      <c r="C266" s="16" t="s">
        <v>4</v>
      </c>
      <c r="D266" s="21">
        <v>60</v>
      </c>
      <c r="E266" s="21">
        <v>12</v>
      </c>
      <c r="F266" s="21">
        <v>33</v>
      </c>
      <c r="G266" s="21">
        <v>15</v>
      </c>
      <c r="H266" s="21">
        <v>90</v>
      </c>
      <c r="I266" s="21">
        <v>18</v>
      </c>
      <c r="J266" s="21">
        <v>9</v>
      </c>
      <c r="K266" s="21">
        <v>49.500000000000007</v>
      </c>
      <c r="L266" s="21">
        <v>9</v>
      </c>
      <c r="M266" s="21">
        <v>13.5</v>
      </c>
      <c r="N266" s="21">
        <v>6.3000000000000007</v>
      </c>
      <c r="O266" s="21">
        <v>11.700000000000001</v>
      </c>
    </row>
    <row r="267" spans="1:15" x14ac:dyDescent="0.25">
      <c r="A267" s="35">
        <v>43517</v>
      </c>
      <c r="B267" s="16">
        <v>7</v>
      </c>
      <c r="C267" s="16" t="s">
        <v>69</v>
      </c>
      <c r="D267" s="21">
        <v>30</v>
      </c>
      <c r="E267" s="21">
        <v>6</v>
      </c>
      <c r="F267" s="21">
        <v>16.5</v>
      </c>
      <c r="G267" s="21">
        <v>7.5</v>
      </c>
      <c r="H267" s="21">
        <v>45</v>
      </c>
      <c r="I267" s="21">
        <v>9</v>
      </c>
      <c r="J267" s="21">
        <v>4.5</v>
      </c>
      <c r="K267" s="21">
        <v>24.750000000000004</v>
      </c>
      <c r="L267" s="21">
        <v>4.5</v>
      </c>
      <c r="M267" s="21">
        <v>6.75</v>
      </c>
      <c r="N267" s="21">
        <v>3.1500000000000004</v>
      </c>
      <c r="O267" s="21">
        <v>5.8500000000000005</v>
      </c>
    </row>
    <row r="268" spans="1:15" x14ac:dyDescent="0.25">
      <c r="A268" s="35">
        <v>43517</v>
      </c>
      <c r="B268" s="16">
        <v>10</v>
      </c>
      <c r="C268" s="16" t="s">
        <v>5</v>
      </c>
      <c r="D268" s="21">
        <v>32</v>
      </c>
      <c r="E268" s="21">
        <v>6.4</v>
      </c>
      <c r="F268" s="21">
        <v>17.600000000000001</v>
      </c>
      <c r="G268" s="21">
        <v>8</v>
      </c>
      <c r="H268" s="21">
        <v>48</v>
      </c>
      <c r="I268" s="21">
        <v>9.6</v>
      </c>
      <c r="J268" s="21">
        <v>4.8</v>
      </c>
      <c r="K268" s="21">
        <v>26.400000000000002</v>
      </c>
      <c r="L268" s="21">
        <v>4.8000000000000007</v>
      </c>
      <c r="M268" s="21">
        <v>7.1999999999999993</v>
      </c>
      <c r="N268" s="21">
        <v>3.3600000000000003</v>
      </c>
      <c r="O268" s="21">
        <v>6.24</v>
      </c>
    </row>
    <row r="269" spans="1:15" x14ac:dyDescent="0.25">
      <c r="A269" s="35">
        <v>43517</v>
      </c>
      <c r="B269" s="16">
        <v>21</v>
      </c>
      <c r="C269" s="16" t="s">
        <v>81</v>
      </c>
      <c r="D269" s="21">
        <v>32</v>
      </c>
      <c r="E269" s="21">
        <v>6.4</v>
      </c>
      <c r="F269" s="21">
        <v>17.600000000000001</v>
      </c>
      <c r="G269" s="21">
        <v>8</v>
      </c>
      <c r="H269" s="21">
        <v>48</v>
      </c>
      <c r="I269" s="21">
        <v>9.6</v>
      </c>
      <c r="J269" s="21">
        <v>4.8</v>
      </c>
      <c r="K269" s="21">
        <v>26.400000000000002</v>
      </c>
      <c r="L269" s="21">
        <v>4.8000000000000007</v>
      </c>
      <c r="M269" s="21">
        <v>7.1999999999999993</v>
      </c>
      <c r="N269" s="21">
        <v>3.3600000000000003</v>
      </c>
      <c r="O269" s="21">
        <v>6.24</v>
      </c>
    </row>
    <row r="270" spans="1:15" x14ac:dyDescent="0.25">
      <c r="A270" s="35">
        <v>43517</v>
      </c>
      <c r="B270" s="16">
        <v>14</v>
      </c>
      <c r="C270" s="16" t="s">
        <v>74</v>
      </c>
      <c r="D270" s="21">
        <v>65</v>
      </c>
      <c r="E270" s="21">
        <v>13</v>
      </c>
      <c r="F270" s="21">
        <v>35.75</v>
      </c>
      <c r="G270" s="21">
        <v>16.25</v>
      </c>
      <c r="H270" s="21">
        <v>97.5</v>
      </c>
      <c r="I270" s="21">
        <v>19.5</v>
      </c>
      <c r="J270" s="21">
        <v>9.75</v>
      </c>
      <c r="K270" s="21">
        <v>53.625000000000007</v>
      </c>
      <c r="L270" s="21">
        <v>9.75</v>
      </c>
      <c r="M270" s="21">
        <v>14.625</v>
      </c>
      <c r="N270" s="21">
        <v>6.8250000000000011</v>
      </c>
      <c r="O270" s="21">
        <v>12.675000000000001</v>
      </c>
    </row>
    <row r="271" spans="1:15" x14ac:dyDescent="0.25">
      <c r="A271" s="35">
        <v>43517</v>
      </c>
      <c r="B271" s="16">
        <v>5</v>
      </c>
      <c r="C271" s="16" t="s">
        <v>6</v>
      </c>
      <c r="D271" s="21">
        <v>65</v>
      </c>
      <c r="E271" s="21">
        <v>13</v>
      </c>
      <c r="F271" s="21">
        <v>35.75</v>
      </c>
      <c r="G271" s="21">
        <v>16.25</v>
      </c>
      <c r="H271" s="21">
        <v>97.5</v>
      </c>
      <c r="I271" s="21">
        <v>19.5</v>
      </c>
      <c r="J271" s="21">
        <v>9.75</v>
      </c>
      <c r="K271" s="21">
        <v>53.625000000000007</v>
      </c>
      <c r="L271" s="21">
        <v>9.75</v>
      </c>
      <c r="M271" s="21">
        <v>14.625</v>
      </c>
      <c r="N271" s="21">
        <v>6.8250000000000011</v>
      </c>
      <c r="O271" s="21">
        <v>12.675000000000001</v>
      </c>
    </row>
    <row r="272" spans="1:15" x14ac:dyDescent="0.25">
      <c r="A272" s="35">
        <v>43517</v>
      </c>
      <c r="B272" s="16">
        <v>12</v>
      </c>
      <c r="C272" s="16" t="s">
        <v>72</v>
      </c>
      <c r="D272" s="21">
        <v>45</v>
      </c>
      <c r="E272" s="21">
        <v>9</v>
      </c>
      <c r="F272" s="21">
        <v>24.750000000000004</v>
      </c>
      <c r="G272" s="21">
        <v>11.25</v>
      </c>
      <c r="H272" s="21">
        <v>67.5</v>
      </c>
      <c r="I272" s="21">
        <v>13.5</v>
      </c>
      <c r="J272" s="21">
        <v>6.75</v>
      </c>
      <c r="K272" s="21">
        <v>37.125</v>
      </c>
      <c r="L272" s="21">
        <v>6.75</v>
      </c>
      <c r="M272" s="21">
        <v>10.125</v>
      </c>
      <c r="N272" s="21">
        <v>4.7250000000000005</v>
      </c>
      <c r="O272" s="21">
        <v>8.7750000000000004</v>
      </c>
    </row>
    <row r="273" spans="1:15" x14ac:dyDescent="0.25">
      <c r="A273" s="35">
        <v>43518</v>
      </c>
      <c r="B273" s="16">
        <v>19</v>
      </c>
      <c r="C273" s="16" t="s">
        <v>79</v>
      </c>
      <c r="D273" s="21">
        <v>25</v>
      </c>
      <c r="E273" s="21">
        <v>5</v>
      </c>
      <c r="F273" s="21">
        <v>13.750000000000002</v>
      </c>
      <c r="G273" s="21">
        <v>6.25</v>
      </c>
      <c r="H273" s="21">
        <v>37.5</v>
      </c>
      <c r="I273" s="21">
        <v>7.5</v>
      </c>
      <c r="J273" s="21">
        <v>3.75</v>
      </c>
      <c r="K273" s="21">
        <v>20.625</v>
      </c>
      <c r="L273" s="21">
        <v>3.75</v>
      </c>
      <c r="M273" s="21">
        <v>5.625</v>
      </c>
      <c r="N273" s="21">
        <v>2.6250000000000004</v>
      </c>
      <c r="O273" s="21">
        <v>4.875</v>
      </c>
    </row>
    <row r="274" spans="1:15" x14ac:dyDescent="0.25">
      <c r="A274" s="35">
        <v>43488</v>
      </c>
      <c r="B274" s="16">
        <v>17</v>
      </c>
      <c r="C274" s="16" t="s">
        <v>77</v>
      </c>
      <c r="D274" s="21">
        <v>36</v>
      </c>
      <c r="E274" s="21">
        <v>7.2</v>
      </c>
      <c r="F274" s="21">
        <v>19.8</v>
      </c>
      <c r="G274" s="21">
        <v>9</v>
      </c>
      <c r="H274" s="21">
        <v>54</v>
      </c>
      <c r="I274" s="21">
        <v>10.799999999999999</v>
      </c>
      <c r="J274" s="21">
        <v>5.3999999999999995</v>
      </c>
      <c r="K274" s="21">
        <v>29.700000000000003</v>
      </c>
      <c r="L274" s="21">
        <v>5.4</v>
      </c>
      <c r="M274" s="21">
        <v>8.1</v>
      </c>
      <c r="N274" s="21">
        <v>3.7800000000000002</v>
      </c>
      <c r="O274" s="21">
        <v>7.0200000000000005</v>
      </c>
    </row>
    <row r="275" spans="1:15" x14ac:dyDescent="0.25">
      <c r="A275" s="35">
        <v>43488</v>
      </c>
      <c r="B275" s="16">
        <v>13</v>
      </c>
      <c r="C275" s="16" t="s">
        <v>73</v>
      </c>
      <c r="D275" s="21">
        <v>63</v>
      </c>
      <c r="E275" s="21">
        <v>12.600000000000001</v>
      </c>
      <c r="F275" s="21">
        <v>34.650000000000006</v>
      </c>
      <c r="G275" s="21">
        <v>15.75</v>
      </c>
      <c r="H275" s="21">
        <v>94.5</v>
      </c>
      <c r="I275" s="21">
        <v>18.899999999999999</v>
      </c>
      <c r="J275" s="21">
        <v>9.4499999999999993</v>
      </c>
      <c r="K275" s="21">
        <v>51.975000000000001</v>
      </c>
      <c r="L275" s="21">
        <v>9.4500000000000011</v>
      </c>
      <c r="M275" s="21">
        <v>14.174999999999999</v>
      </c>
      <c r="N275" s="21">
        <v>6.6150000000000002</v>
      </c>
      <c r="O275" s="21">
        <v>12.285</v>
      </c>
    </row>
    <row r="276" spans="1:15" x14ac:dyDescent="0.25">
      <c r="A276" s="35">
        <v>43488</v>
      </c>
      <c r="B276" s="16">
        <v>20</v>
      </c>
      <c r="C276" s="16" t="s">
        <v>80</v>
      </c>
      <c r="D276" s="21">
        <v>52</v>
      </c>
      <c r="E276" s="21">
        <v>10.4</v>
      </c>
      <c r="F276" s="21">
        <v>28.6</v>
      </c>
      <c r="G276" s="21">
        <v>13</v>
      </c>
      <c r="H276" s="21">
        <v>78</v>
      </c>
      <c r="I276" s="21">
        <v>15.6</v>
      </c>
      <c r="J276" s="21">
        <v>7.8</v>
      </c>
      <c r="K276" s="21">
        <v>42.900000000000006</v>
      </c>
      <c r="L276" s="21">
        <v>7.8000000000000007</v>
      </c>
      <c r="M276" s="21">
        <v>11.7</v>
      </c>
      <c r="N276" s="21">
        <v>5.4600000000000009</v>
      </c>
      <c r="O276" s="21">
        <v>10.14</v>
      </c>
    </row>
    <row r="277" spans="1:15" x14ac:dyDescent="0.25">
      <c r="A277" s="35">
        <v>43488</v>
      </c>
      <c r="B277" s="16">
        <v>11</v>
      </c>
      <c r="C277" s="16" t="s">
        <v>71</v>
      </c>
      <c r="D277" s="21">
        <v>45</v>
      </c>
      <c r="E277" s="21">
        <v>9</v>
      </c>
      <c r="F277" s="21">
        <v>24.750000000000004</v>
      </c>
      <c r="G277" s="21">
        <v>11.25</v>
      </c>
      <c r="H277" s="21">
        <v>67.5</v>
      </c>
      <c r="I277" s="21">
        <v>13.5</v>
      </c>
      <c r="J277" s="21">
        <v>6.75</v>
      </c>
      <c r="K277" s="21">
        <v>37.125</v>
      </c>
      <c r="L277" s="21">
        <v>6.75</v>
      </c>
      <c r="M277" s="21">
        <v>10.125</v>
      </c>
      <c r="N277" s="21">
        <v>4.7250000000000005</v>
      </c>
      <c r="O277" s="21">
        <v>8.7750000000000004</v>
      </c>
    </row>
    <row r="278" spans="1:15" x14ac:dyDescent="0.25">
      <c r="A278" s="35">
        <v>43517</v>
      </c>
      <c r="B278" s="16">
        <v>4</v>
      </c>
      <c r="C278" s="16" t="s">
        <v>67</v>
      </c>
      <c r="D278" s="21">
        <v>65</v>
      </c>
      <c r="E278" s="21">
        <v>13</v>
      </c>
      <c r="F278" s="21">
        <v>35.75</v>
      </c>
      <c r="G278" s="21">
        <v>16.25</v>
      </c>
      <c r="H278" s="21">
        <v>97.5</v>
      </c>
      <c r="I278" s="21">
        <v>19.5</v>
      </c>
      <c r="J278" s="21">
        <v>9.75</v>
      </c>
      <c r="K278" s="21">
        <v>53.625000000000007</v>
      </c>
      <c r="L278" s="21">
        <v>9.75</v>
      </c>
      <c r="M278" s="21">
        <v>14.625</v>
      </c>
      <c r="N278" s="21">
        <v>6.8250000000000011</v>
      </c>
      <c r="O278" s="21">
        <v>12.675000000000001</v>
      </c>
    </row>
    <row r="279" spans="1:15" x14ac:dyDescent="0.25">
      <c r="A279" s="35">
        <v>43518</v>
      </c>
      <c r="B279" s="16">
        <v>16</v>
      </c>
      <c r="C279" s="16" t="s">
        <v>76</v>
      </c>
      <c r="D279" s="21">
        <v>65</v>
      </c>
      <c r="E279" s="21">
        <v>13</v>
      </c>
      <c r="F279" s="21">
        <v>35.75</v>
      </c>
      <c r="G279" s="21">
        <v>16.25</v>
      </c>
      <c r="H279" s="21">
        <v>97.5</v>
      </c>
      <c r="I279" s="21">
        <v>19.5</v>
      </c>
      <c r="J279" s="21">
        <v>9.75</v>
      </c>
      <c r="K279" s="21">
        <v>53.625000000000007</v>
      </c>
      <c r="L279" s="21">
        <v>9.75</v>
      </c>
      <c r="M279" s="21">
        <v>14.625</v>
      </c>
      <c r="N279" s="21">
        <v>6.8250000000000011</v>
      </c>
      <c r="O279" s="21">
        <v>12.675000000000001</v>
      </c>
    </row>
    <row r="280" spans="1:15" x14ac:dyDescent="0.25">
      <c r="A280" s="35">
        <v>43518</v>
      </c>
      <c r="B280" s="16">
        <v>3</v>
      </c>
      <c r="C280" s="16" t="s">
        <v>66</v>
      </c>
      <c r="D280" s="21">
        <v>45</v>
      </c>
      <c r="E280" s="21">
        <v>9</v>
      </c>
      <c r="F280" s="21">
        <v>24.750000000000004</v>
      </c>
      <c r="G280" s="21">
        <v>11.25</v>
      </c>
      <c r="H280" s="21">
        <v>67.5</v>
      </c>
      <c r="I280" s="21">
        <v>13.5</v>
      </c>
      <c r="J280" s="21">
        <v>6.75</v>
      </c>
      <c r="K280" s="21">
        <v>37.125</v>
      </c>
      <c r="L280" s="21">
        <v>6.75</v>
      </c>
      <c r="M280" s="21">
        <v>10.125</v>
      </c>
      <c r="N280" s="21">
        <v>4.7250000000000005</v>
      </c>
      <c r="O280" s="21">
        <v>8.7750000000000004</v>
      </c>
    </row>
    <row r="281" spans="1:15" x14ac:dyDescent="0.25">
      <c r="A281" s="35">
        <v>43519</v>
      </c>
      <c r="B281" s="16">
        <v>2</v>
      </c>
      <c r="C281" s="16" t="s">
        <v>65</v>
      </c>
      <c r="D281" s="21">
        <v>32</v>
      </c>
      <c r="E281" s="21">
        <v>6.4</v>
      </c>
      <c r="F281" s="21">
        <v>17.600000000000001</v>
      </c>
      <c r="G281" s="21">
        <v>8</v>
      </c>
      <c r="H281" s="21">
        <v>48</v>
      </c>
      <c r="I281" s="21">
        <v>9.6</v>
      </c>
      <c r="J281" s="21">
        <v>4.8</v>
      </c>
      <c r="K281" s="21">
        <v>26.400000000000002</v>
      </c>
      <c r="L281" s="21">
        <v>4.8000000000000007</v>
      </c>
      <c r="M281" s="21">
        <v>7.1999999999999993</v>
      </c>
      <c r="N281" s="21">
        <v>3.3600000000000003</v>
      </c>
      <c r="O281" s="21">
        <v>6.24</v>
      </c>
    </row>
    <row r="282" spans="1:15" x14ac:dyDescent="0.25">
      <c r="A282" s="35">
        <v>43519</v>
      </c>
      <c r="B282" s="16">
        <v>1</v>
      </c>
      <c r="C282" s="16" t="s">
        <v>3</v>
      </c>
      <c r="D282" s="21">
        <v>12</v>
      </c>
      <c r="E282" s="21">
        <v>2.4000000000000004</v>
      </c>
      <c r="F282" s="21">
        <v>6.6000000000000005</v>
      </c>
      <c r="G282" s="21">
        <v>3</v>
      </c>
      <c r="H282" s="21">
        <v>18</v>
      </c>
      <c r="I282" s="21">
        <v>3.5999999999999996</v>
      </c>
      <c r="J282" s="21">
        <v>1.7999999999999998</v>
      </c>
      <c r="K282" s="21">
        <v>9.9</v>
      </c>
      <c r="L282" s="21">
        <v>1.8</v>
      </c>
      <c r="M282" s="21">
        <v>2.6999999999999997</v>
      </c>
      <c r="N282" s="21">
        <v>1.2600000000000002</v>
      </c>
      <c r="O282" s="21">
        <v>2.34</v>
      </c>
    </row>
    <row r="283" spans="1:15" x14ac:dyDescent="0.25">
      <c r="A283" s="35">
        <v>43518</v>
      </c>
      <c r="B283" s="16">
        <v>18</v>
      </c>
      <c r="C283" s="16" t="s">
        <v>78</v>
      </c>
      <c r="D283" s="21">
        <v>45</v>
      </c>
      <c r="E283" s="21">
        <v>9</v>
      </c>
      <c r="F283" s="21">
        <v>24.750000000000004</v>
      </c>
      <c r="G283" s="21">
        <v>11.25</v>
      </c>
      <c r="H283" s="21">
        <v>67.5</v>
      </c>
      <c r="I283" s="21">
        <v>13.5</v>
      </c>
      <c r="J283" s="21">
        <v>6.75</v>
      </c>
      <c r="K283" s="21">
        <v>37.125</v>
      </c>
      <c r="L283" s="21">
        <v>6.75</v>
      </c>
      <c r="M283" s="21">
        <v>10.125</v>
      </c>
      <c r="N283" s="21">
        <v>4.7250000000000005</v>
      </c>
      <c r="O283" s="21">
        <v>8.7750000000000004</v>
      </c>
    </row>
    <row r="284" spans="1:15" x14ac:dyDescent="0.25">
      <c r="A284" s="35">
        <v>43518</v>
      </c>
      <c r="B284" s="16">
        <v>9</v>
      </c>
      <c r="C284" s="16" t="s">
        <v>70</v>
      </c>
      <c r="D284" s="21">
        <v>45</v>
      </c>
      <c r="E284" s="21">
        <v>9</v>
      </c>
      <c r="F284" s="21">
        <v>24.750000000000004</v>
      </c>
      <c r="G284" s="21">
        <v>11.25</v>
      </c>
      <c r="H284" s="21">
        <v>67.5</v>
      </c>
      <c r="I284" s="21">
        <v>13.5</v>
      </c>
      <c r="J284" s="21">
        <v>6.75</v>
      </c>
      <c r="K284" s="21">
        <v>37.125</v>
      </c>
      <c r="L284" s="21">
        <v>6.75</v>
      </c>
      <c r="M284" s="21">
        <v>10.125</v>
      </c>
      <c r="N284" s="21">
        <v>4.7250000000000005</v>
      </c>
      <c r="O284" s="21">
        <v>8.7750000000000004</v>
      </c>
    </row>
    <row r="285" spans="1:15" x14ac:dyDescent="0.25">
      <c r="A285" s="35">
        <v>43489</v>
      </c>
      <c r="B285" s="16">
        <v>6</v>
      </c>
      <c r="C285" s="16" t="s">
        <v>68</v>
      </c>
      <c r="D285" s="21">
        <v>20</v>
      </c>
      <c r="E285" s="21">
        <v>4</v>
      </c>
      <c r="F285" s="21">
        <v>11</v>
      </c>
      <c r="G285" s="21">
        <v>5</v>
      </c>
      <c r="H285" s="21">
        <v>30</v>
      </c>
      <c r="I285" s="21">
        <v>6</v>
      </c>
      <c r="J285" s="21">
        <v>3</v>
      </c>
      <c r="K285" s="21">
        <v>16.5</v>
      </c>
      <c r="L285" s="21">
        <v>3</v>
      </c>
      <c r="M285" s="21">
        <v>4.5</v>
      </c>
      <c r="N285" s="21">
        <v>2.1</v>
      </c>
      <c r="O285" s="21">
        <v>3.9000000000000004</v>
      </c>
    </row>
    <row r="286" spans="1:15" x14ac:dyDescent="0.25">
      <c r="A286" s="35">
        <v>43489</v>
      </c>
      <c r="B286" s="16">
        <v>15</v>
      </c>
      <c r="C286" s="16" t="s">
        <v>75</v>
      </c>
      <c r="D286" s="21">
        <v>60</v>
      </c>
      <c r="E286" s="21">
        <v>12</v>
      </c>
      <c r="F286" s="21">
        <v>33</v>
      </c>
      <c r="G286" s="21">
        <v>15</v>
      </c>
      <c r="H286" s="21">
        <v>90</v>
      </c>
      <c r="I286" s="21">
        <v>18</v>
      </c>
      <c r="J286" s="21">
        <v>9</v>
      </c>
      <c r="K286" s="21">
        <v>49.500000000000007</v>
      </c>
      <c r="L286" s="21">
        <v>9</v>
      </c>
      <c r="M286" s="21">
        <v>13.5</v>
      </c>
      <c r="N286" s="21">
        <v>6.3000000000000007</v>
      </c>
      <c r="O286" s="21">
        <v>11.700000000000001</v>
      </c>
    </row>
    <row r="287" spans="1:15" x14ac:dyDescent="0.25">
      <c r="A287" s="35">
        <v>43489</v>
      </c>
      <c r="B287" s="16">
        <v>8</v>
      </c>
      <c r="C287" s="16" t="s">
        <v>4</v>
      </c>
      <c r="D287" s="21">
        <v>15</v>
      </c>
      <c r="E287" s="21">
        <v>3</v>
      </c>
      <c r="F287" s="21">
        <v>8.25</v>
      </c>
      <c r="G287" s="21">
        <v>3.75</v>
      </c>
      <c r="H287" s="21">
        <v>22.5</v>
      </c>
      <c r="I287" s="21">
        <v>4.5</v>
      </c>
      <c r="J287" s="21">
        <v>2.25</v>
      </c>
      <c r="K287" s="21">
        <v>12.375000000000002</v>
      </c>
      <c r="L287" s="21">
        <v>2.25</v>
      </c>
      <c r="M287" s="21">
        <v>3.375</v>
      </c>
      <c r="N287" s="21">
        <v>1.5750000000000002</v>
      </c>
      <c r="O287" s="21">
        <v>2.9250000000000003</v>
      </c>
    </row>
    <row r="288" spans="1:15" x14ac:dyDescent="0.25">
      <c r="A288" s="35">
        <v>43489</v>
      </c>
      <c r="B288" s="16">
        <v>7</v>
      </c>
      <c r="C288" s="16" t="s">
        <v>69</v>
      </c>
      <c r="D288" s="21">
        <v>60</v>
      </c>
      <c r="E288" s="21">
        <v>12</v>
      </c>
      <c r="F288" s="21">
        <v>33</v>
      </c>
      <c r="G288" s="21">
        <v>15</v>
      </c>
      <c r="H288" s="21">
        <v>90</v>
      </c>
      <c r="I288" s="21">
        <v>18</v>
      </c>
      <c r="J288" s="21">
        <v>9</v>
      </c>
      <c r="K288" s="21">
        <v>49.500000000000007</v>
      </c>
      <c r="L288" s="21">
        <v>9</v>
      </c>
      <c r="M288" s="21">
        <v>13.5</v>
      </c>
      <c r="N288" s="21">
        <v>6.3000000000000007</v>
      </c>
      <c r="O288" s="21">
        <v>11.700000000000001</v>
      </c>
    </row>
    <row r="289" spans="1:15" x14ac:dyDescent="0.25">
      <c r="A289" s="35">
        <v>43489</v>
      </c>
      <c r="B289" s="16">
        <v>10</v>
      </c>
      <c r="C289" s="16" t="s">
        <v>5</v>
      </c>
      <c r="D289" s="21">
        <v>40</v>
      </c>
      <c r="E289" s="21">
        <v>8</v>
      </c>
      <c r="F289" s="21">
        <v>22</v>
      </c>
      <c r="G289" s="21">
        <v>10</v>
      </c>
      <c r="H289" s="21">
        <v>60</v>
      </c>
      <c r="I289" s="21">
        <v>12</v>
      </c>
      <c r="J289" s="21">
        <v>6</v>
      </c>
      <c r="K289" s="21">
        <v>33</v>
      </c>
      <c r="L289" s="21">
        <v>6</v>
      </c>
      <c r="M289" s="21">
        <v>9</v>
      </c>
      <c r="N289" s="21">
        <v>4.2</v>
      </c>
      <c r="O289" s="21">
        <v>7.8000000000000007</v>
      </c>
    </row>
    <row r="290" spans="1:15" x14ac:dyDescent="0.25">
      <c r="A290" s="35">
        <v>43489</v>
      </c>
      <c r="B290" s="16">
        <v>21</v>
      </c>
      <c r="C290" s="16" t="s">
        <v>81</v>
      </c>
      <c r="D290" s="21">
        <v>50</v>
      </c>
      <c r="E290" s="21">
        <v>10</v>
      </c>
      <c r="F290" s="21">
        <v>27.500000000000004</v>
      </c>
      <c r="G290" s="21">
        <v>12.5</v>
      </c>
      <c r="H290" s="21">
        <v>75</v>
      </c>
      <c r="I290" s="21">
        <v>15</v>
      </c>
      <c r="J290" s="21">
        <v>7.5</v>
      </c>
      <c r="K290" s="21">
        <v>41.25</v>
      </c>
      <c r="L290" s="21">
        <v>7.5</v>
      </c>
      <c r="M290" s="21">
        <v>11.25</v>
      </c>
      <c r="N290" s="21">
        <v>5.2500000000000009</v>
      </c>
      <c r="O290" s="21">
        <v>9.75</v>
      </c>
    </row>
    <row r="291" spans="1:15" x14ac:dyDescent="0.25">
      <c r="A291" s="35">
        <v>43489</v>
      </c>
      <c r="B291" s="16">
        <v>14</v>
      </c>
      <c r="C291" s="16" t="s">
        <v>74</v>
      </c>
      <c r="D291" s="21">
        <v>22</v>
      </c>
      <c r="E291" s="21">
        <v>4.4000000000000004</v>
      </c>
      <c r="F291" s="21">
        <v>12.100000000000001</v>
      </c>
      <c r="G291" s="21">
        <v>5.5</v>
      </c>
      <c r="H291" s="21">
        <v>33</v>
      </c>
      <c r="I291" s="21">
        <v>6.6</v>
      </c>
      <c r="J291" s="21">
        <v>3.3</v>
      </c>
      <c r="K291" s="21">
        <v>18.150000000000002</v>
      </c>
      <c r="L291" s="21">
        <v>3.3000000000000003</v>
      </c>
      <c r="M291" s="21">
        <v>4.95</v>
      </c>
      <c r="N291" s="21">
        <v>2.31</v>
      </c>
      <c r="O291" s="21">
        <v>4.29</v>
      </c>
    </row>
    <row r="292" spans="1:15" x14ac:dyDescent="0.25">
      <c r="A292" s="35">
        <v>43503</v>
      </c>
      <c r="B292" s="16">
        <v>5</v>
      </c>
      <c r="C292" s="16" t="s">
        <v>6</v>
      </c>
      <c r="D292" s="21">
        <v>35</v>
      </c>
      <c r="E292" s="21">
        <v>7</v>
      </c>
      <c r="F292" s="21">
        <v>19.25</v>
      </c>
      <c r="G292" s="21">
        <v>8.75</v>
      </c>
      <c r="H292" s="21">
        <v>52.5</v>
      </c>
      <c r="I292" s="21">
        <v>10.5</v>
      </c>
      <c r="J292" s="21">
        <v>5.25</v>
      </c>
      <c r="K292" s="21">
        <v>28.875000000000004</v>
      </c>
      <c r="L292" s="21">
        <v>5.25</v>
      </c>
      <c r="M292" s="21">
        <v>7.875</v>
      </c>
      <c r="N292" s="21">
        <v>3.6750000000000003</v>
      </c>
      <c r="O292" s="21">
        <v>6.8250000000000002</v>
      </c>
    </row>
    <row r="293" spans="1:15" x14ac:dyDescent="0.25">
      <c r="A293" s="35">
        <v>43503</v>
      </c>
      <c r="B293" s="16">
        <v>4</v>
      </c>
      <c r="C293" s="16" t="s">
        <v>67</v>
      </c>
      <c r="D293" s="21">
        <v>54</v>
      </c>
      <c r="E293" s="21">
        <v>10.8</v>
      </c>
      <c r="F293" s="21">
        <v>29.700000000000003</v>
      </c>
      <c r="G293" s="21">
        <v>13.5</v>
      </c>
      <c r="H293" s="21">
        <v>81</v>
      </c>
      <c r="I293" s="21">
        <v>16.2</v>
      </c>
      <c r="J293" s="21">
        <v>8.1</v>
      </c>
      <c r="K293" s="21">
        <v>44.550000000000004</v>
      </c>
      <c r="L293" s="21">
        <v>8.1</v>
      </c>
      <c r="M293" s="21">
        <v>12.15</v>
      </c>
      <c r="N293" s="21">
        <v>5.6700000000000008</v>
      </c>
      <c r="O293" s="21">
        <v>10.530000000000001</v>
      </c>
    </row>
    <row r="294" spans="1:15" x14ac:dyDescent="0.25">
      <c r="A294" s="35">
        <v>43521</v>
      </c>
      <c r="B294" s="16">
        <v>16</v>
      </c>
      <c r="C294" s="16" t="s">
        <v>76</v>
      </c>
      <c r="D294" s="21">
        <v>56</v>
      </c>
      <c r="E294" s="21">
        <v>11.200000000000001</v>
      </c>
      <c r="F294" s="21">
        <v>30.800000000000004</v>
      </c>
      <c r="G294" s="21">
        <v>14</v>
      </c>
      <c r="H294" s="21">
        <v>84</v>
      </c>
      <c r="I294" s="21">
        <v>16.8</v>
      </c>
      <c r="J294" s="21">
        <v>8.4</v>
      </c>
      <c r="K294" s="21">
        <v>46.2</v>
      </c>
      <c r="L294" s="21">
        <v>8.4</v>
      </c>
      <c r="M294" s="21">
        <v>12.6</v>
      </c>
      <c r="N294" s="21">
        <v>5.8800000000000008</v>
      </c>
      <c r="O294" s="21">
        <v>10.92</v>
      </c>
    </row>
    <row r="295" spans="1:15" x14ac:dyDescent="0.25">
      <c r="A295" s="35">
        <v>43490</v>
      </c>
      <c r="B295" s="16">
        <v>3</v>
      </c>
      <c r="C295" s="16" t="s">
        <v>66</v>
      </c>
      <c r="D295" s="21">
        <v>48</v>
      </c>
      <c r="E295" s="21">
        <v>9.6000000000000014</v>
      </c>
      <c r="F295" s="21">
        <v>26.400000000000002</v>
      </c>
      <c r="G295" s="21">
        <v>12</v>
      </c>
      <c r="H295" s="21">
        <v>72</v>
      </c>
      <c r="I295" s="21">
        <v>14.399999999999999</v>
      </c>
      <c r="J295" s="21">
        <v>7.1999999999999993</v>
      </c>
      <c r="K295" s="21">
        <v>39.6</v>
      </c>
      <c r="L295" s="21">
        <v>7.2</v>
      </c>
      <c r="M295" s="21">
        <v>10.799999999999999</v>
      </c>
      <c r="N295" s="21">
        <v>5.0400000000000009</v>
      </c>
      <c r="O295" s="21">
        <v>9.36</v>
      </c>
    </row>
    <row r="296" spans="1:15" x14ac:dyDescent="0.25">
      <c r="A296" s="35">
        <v>43490</v>
      </c>
      <c r="B296" s="16">
        <v>2</v>
      </c>
      <c r="C296" s="16" t="s">
        <v>65</v>
      </c>
      <c r="D296" s="21">
        <v>45</v>
      </c>
      <c r="E296" s="21">
        <v>9</v>
      </c>
      <c r="F296" s="21">
        <v>24.750000000000004</v>
      </c>
      <c r="G296" s="21">
        <v>11.25</v>
      </c>
      <c r="H296" s="21">
        <v>67.5</v>
      </c>
      <c r="I296" s="21">
        <v>13.5</v>
      </c>
      <c r="J296" s="21">
        <v>6.75</v>
      </c>
      <c r="K296" s="21">
        <v>37.125</v>
      </c>
      <c r="L296" s="21">
        <v>6.75</v>
      </c>
      <c r="M296" s="21">
        <v>10.125</v>
      </c>
      <c r="N296" s="21">
        <v>4.7250000000000005</v>
      </c>
      <c r="O296" s="21">
        <v>8.7750000000000004</v>
      </c>
    </row>
    <row r="297" spans="1:15" x14ac:dyDescent="0.25">
      <c r="A297" s="35">
        <v>43490</v>
      </c>
      <c r="B297" s="16">
        <v>1</v>
      </c>
      <c r="C297" s="16" t="s">
        <v>3</v>
      </c>
      <c r="D297" s="21">
        <v>22</v>
      </c>
      <c r="E297" s="21">
        <v>4.4000000000000004</v>
      </c>
      <c r="F297" s="21">
        <v>12.100000000000001</v>
      </c>
      <c r="G297" s="21">
        <v>5.5</v>
      </c>
      <c r="H297" s="21">
        <v>33</v>
      </c>
      <c r="I297" s="21">
        <v>6.6</v>
      </c>
      <c r="J297" s="21">
        <v>3.3</v>
      </c>
      <c r="K297" s="21">
        <v>18.150000000000002</v>
      </c>
      <c r="L297" s="21">
        <v>3.3000000000000003</v>
      </c>
      <c r="M297" s="21">
        <v>4.95</v>
      </c>
      <c r="N297" s="21">
        <v>2.31</v>
      </c>
      <c r="O297" s="21">
        <v>4.29</v>
      </c>
    </row>
    <row r="298" spans="1:15" x14ac:dyDescent="0.25">
      <c r="A298" s="35">
        <v>43490</v>
      </c>
      <c r="B298" s="16">
        <v>18</v>
      </c>
      <c r="C298" s="16" t="s">
        <v>78</v>
      </c>
      <c r="D298" s="21">
        <v>33</v>
      </c>
      <c r="E298" s="21">
        <v>6.6000000000000005</v>
      </c>
      <c r="F298" s="21">
        <v>18.150000000000002</v>
      </c>
      <c r="G298" s="21">
        <v>8.25</v>
      </c>
      <c r="H298" s="21">
        <v>49.5</v>
      </c>
      <c r="I298" s="21">
        <v>9.9</v>
      </c>
      <c r="J298" s="21">
        <v>4.95</v>
      </c>
      <c r="K298" s="21">
        <v>27.225000000000001</v>
      </c>
      <c r="L298" s="21">
        <v>4.95</v>
      </c>
      <c r="M298" s="21">
        <v>7.4249999999999998</v>
      </c>
      <c r="N298" s="21">
        <v>3.4650000000000003</v>
      </c>
      <c r="O298" s="21">
        <v>6.4350000000000005</v>
      </c>
    </row>
    <row r="299" spans="1:15" x14ac:dyDescent="0.25">
      <c r="A299" s="35">
        <v>43490</v>
      </c>
      <c r="B299" s="16">
        <v>9</v>
      </c>
      <c r="C299" s="16" t="s">
        <v>70</v>
      </c>
      <c r="D299" s="21">
        <v>34</v>
      </c>
      <c r="E299" s="21">
        <v>6.8000000000000007</v>
      </c>
      <c r="F299" s="21">
        <v>18.700000000000003</v>
      </c>
      <c r="G299" s="21">
        <v>8.5</v>
      </c>
      <c r="H299" s="21">
        <v>51</v>
      </c>
      <c r="I299" s="21">
        <v>10.199999999999999</v>
      </c>
      <c r="J299" s="21">
        <v>5.0999999999999996</v>
      </c>
      <c r="K299" s="21">
        <v>28.05</v>
      </c>
      <c r="L299" s="21">
        <v>5.1000000000000005</v>
      </c>
      <c r="M299" s="21">
        <v>7.6499999999999995</v>
      </c>
      <c r="N299" s="21">
        <v>3.5700000000000003</v>
      </c>
      <c r="O299" s="21">
        <v>6.63</v>
      </c>
    </row>
    <row r="300" spans="1:15" x14ac:dyDescent="0.25">
      <c r="A300" s="35">
        <v>43490</v>
      </c>
      <c r="B300" s="16">
        <v>6</v>
      </c>
      <c r="C300" s="16" t="s">
        <v>68</v>
      </c>
      <c r="D300" s="21">
        <v>635</v>
      </c>
      <c r="E300" s="21">
        <v>127</v>
      </c>
      <c r="F300" s="21">
        <v>349.25</v>
      </c>
      <c r="G300" s="21">
        <v>158.75</v>
      </c>
      <c r="H300" s="21">
        <v>952.5</v>
      </c>
      <c r="I300" s="21">
        <v>190.5</v>
      </c>
      <c r="J300" s="21">
        <v>95.25</v>
      </c>
      <c r="K300" s="21">
        <v>523.875</v>
      </c>
      <c r="L300" s="21">
        <v>95.25</v>
      </c>
      <c r="M300" s="21">
        <v>142.875</v>
      </c>
      <c r="N300" s="21">
        <v>66.675000000000011</v>
      </c>
      <c r="O300" s="21">
        <v>123.825</v>
      </c>
    </row>
    <row r="301" spans="1:15" x14ac:dyDescent="0.25">
      <c r="A301" s="35">
        <v>43521</v>
      </c>
      <c r="B301" s="16">
        <v>15</v>
      </c>
      <c r="C301" s="16" t="s">
        <v>75</v>
      </c>
      <c r="D301" s="21">
        <v>56</v>
      </c>
      <c r="E301" s="21">
        <v>11.200000000000001</v>
      </c>
      <c r="F301" s="21">
        <v>30.800000000000004</v>
      </c>
      <c r="G301" s="21">
        <v>14</v>
      </c>
      <c r="H301" s="21">
        <v>84</v>
      </c>
      <c r="I301" s="21">
        <v>16.8</v>
      </c>
      <c r="J301" s="21">
        <v>8.4</v>
      </c>
      <c r="K301" s="21">
        <v>46.2</v>
      </c>
      <c r="L301" s="21">
        <v>8.4</v>
      </c>
      <c r="M301" s="21">
        <v>12.6</v>
      </c>
      <c r="N301" s="21">
        <v>5.8800000000000008</v>
      </c>
      <c r="O301" s="21">
        <v>10.92</v>
      </c>
    </row>
    <row r="302" spans="1:15" x14ac:dyDescent="0.25">
      <c r="A302" s="35">
        <v>43491</v>
      </c>
      <c r="B302" s="16">
        <v>8</v>
      </c>
      <c r="C302" s="16" t="s">
        <v>4</v>
      </c>
      <c r="D302" s="21">
        <v>45</v>
      </c>
      <c r="E302" s="21">
        <v>9</v>
      </c>
      <c r="F302" s="21">
        <v>24.750000000000004</v>
      </c>
      <c r="G302" s="21">
        <v>11.25</v>
      </c>
      <c r="H302" s="21">
        <v>67.5</v>
      </c>
      <c r="I302" s="21">
        <v>13.5</v>
      </c>
      <c r="J302" s="21">
        <v>6.75</v>
      </c>
      <c r="K302" s="21">
        <v>37.125</v>
      </c>
      <c r="L302" s="21">
        <v>6.75</v>
      </c>
      <c r="M302" s="21">
        <v>10.125</v>
      </c>
      <c r="N302" s="21">
        <v>4.7250000000000005</v>
      </c>
      <c r="O302" s="21">
        <v>8.7750000000000004</v>
      </c>
    </row>
    <row r="303" spans="1:15" x14ac:dyDescent="0.25">
      <c r="A303" s="35">
        <v>43522</v>
      </c>
      <c r="B303" s="16">
        <v>7</v>
      </c>
      <c r="C303" s="16" t="s">
        <v>69</v>
      </c>
      <c r="D303" s="21">
        <v>65</v>
      </c>
      <c r="E303" s="21">
        <v>13</v>
      </c>
      <c r="F303" s="21">
        <v>35.75</v>
      </c>
      <c r="G303" s="21">
        <v>16.25</v>
      </c>
      <c r="H303" s="21">
        <v>97.5</v>
      </c>
      <c r="I303" s="21">
        <v>19.5</v>
      </c>
      <c r="J303" s="21">
        <v>9.75</v>
      </c>
      <c r="K303" s="21">
        <v>53.625000000000007</v>
      </c>
      <c r="L303" s="21">
        <v>9.75</v>
      </c>
      <c r="M303" s="21">
        <v>14.625</v>
      </c>
      <c r="N303" s="21">
        <v>6.8250000000000011</v>
      </c>
      <c r="O303" s="21">
        <v>12.675000000000001</v>
      </c>
    </row>
    <row r="304" spans="1:15" x14ac:dyDescent="0.25">
      <c r="A304" s="35">
        <v>43522</v>
      </c>
      <c r="B304" s="16">
        <v>10</v>
      </c>
      <c r="C304" s="16" t="s">
        <v>5</v>
      </c>
      <c r="D304" s="21">
        <v>23</v>
      </c>
      <c r="E304" s="21">
        <v>4.6000000000000005</v>
      </c>
      <c r="F304" s="21">
        <v>12.65</v>
      </c>
      <c r="G304" s="21">
        <v>5.75</v>
      </c>
      <c r="H304" s="21">
        <v>34.5</v>
      </c>
      <c r="I304" s="21">
        <v>6.8999999999999995</v>
      </c>
      <c r="J304" s="21">
        <v>3.4499999999999997</v>
      </c>
      <c r="K304" s="21">
        <v>18.975000000000001</v>
      </c>
      <c r="L304" s="21">
        <v>3.45</v>
      </c>
      <c r="M304" s="21">
        <v>5.1749999999999998</v>
      </c>
      <c r="N304" s="21">
        <v>2.415</v>
      </c>
      <c r="O304" s="21">
        <v>4.4850000000000003</v>
      </c>
    </row>
    <row r="305" spans="1:15" x14ac:dyDescent="0.25">
      <c r="A305" s="35">
        <v>43493</v>
      </c>
      <c r="B305" s="16">
        <v>21</v>
      </c>
      <c r="C305" s="16" t="s">
        <v>81</v>
      </c>
      <c r="D305" s="21">
        <v>65</v>
      </c>
      <c r="E305" s="21">
        <v>13</v>
      </c>
      <c r="F305" s="21">
        <v>35.75</v>
      </c>
      <c r="G305" s="21">
        <v>16.25</v>
      </c>
      <c r="H305" s="21">
        <v>97.5</v>
      </c>
      <c r="I305" s="21">
        <v>19.5</v>
      </c>
      <c r="J305" s="21">
        <v>9.75</v>
      </c>
      <c r="K305" s="21">
        <v>53.625000000000007</v>
      </c>
      <c r="L305" s="21">
        <v>9.75</v>
      </c>
      <c r="M305" s="21">
        <v>14.625</v>
      </c>
      <c r="N305" s="21">
        <v>6.8250000000000011</v>
      </c>
      <c r="O305" s="21">
        <v>12.675000000000001</v>
      </c>
    </row>
    <row r="306" spans="1:15" x14ac:dyDescent="0.25">
      <c r="A306" s="35">
        <v>43493</v>
      </c>
      <c r="B306" s="16">
        <v>14</v>
      </c>
      <c r="C306" s="16" t="s">
        <v>74</v>
      </c>
      <c r="D306" s="21">
        <v>60</v>
      </c>
      <c r="E306" s="21">
        <v>12</v>
      </c>
      <c r="F306" s="21">
        <v>33</v>
      </c>
      <c r="G306" s="21">
        <v>15</v>
      </c>
      <c r="H306" s="21">
        <v>90</v>
      </c>
      <c r="I306" s="21">
        <v>18</v>
      </c>
      <c r="J306" s="21">
        <v>9</v>
      </c>
      <c r="K306" s="21">
        <v>49.500000000000007</v>
      </c>
      <c r="L306" s="21">
        <v>9</v>
      </c>
      <c r="M306" s="21">
        <v>13.5</v>
      </c>
      <c r="N306" s="21">
        <v>6.3000000000000007</v>
      </c>
      <c r="O306" s="21">
        <v>11.700000000000001</v>
      </c>
    </row>
    <row r="307" spans="1:15" x14ac:dyDescent="0.25">
      <c r="A307" s="35">
        <v>43493</v>
      </c>
      <c r="B307" s="16">
        <v>5</v>
      </c>
      <c r="C307" s="16" t="s">
        <v>6</v>
      </c>
      <c r="D307" s="21">
        <v>50</v>
      </c>
      <c r="E307" s="21">
        <v>10</v>
      </c>
      <c r="F307" s="21">
        <v>27.500000000000004</v>
      </c>
      <c r="G307" s="21">
        <v>12.5</v>
      </c>
      <c r="H307" s="21">
        <v>75</v>
      </c>
      <c r="I307" s="21">
        <v>15</v>
      </c>
      <c r="J307" s="21">
        <v>7.5</v>
      </c>
      <c r="K307" s="21">
        <v>41.25</v>
      </c>
      <c r="L307" s="21">
        <v>7.5</v>
      </c>
      <c r="M307" s="21">
        <v>11.25</v>
      </c>
      <c r="N307" s="21">
        <v>5.2500000000000009</v>
      </c>
      <c r="O307" s="21">
        <v>9.75</v>
      </c>
    </row>
    <row r="308" spans="1:15" x14ac:dyDescent="0.25">
      <c r="A308" s="35">
        <v>43493</v>
      </c>
      <c r="B308" s="16">
        <v>12</v>
      </c>
      <c r="C308" s="16" t="s">
        <v>72</v>
      </c>
      <c r="D308" s="21">
        <v>40</v>
      </c>
      <c r="E308" s="21">
        <v>8</v>
      </c>
      <c r="F308" s="21">
        <v>22</v>
      </c>
      <c r="G308" s="21">
        <v>10</v>
      </c>
      <c r="H308" s="21">
        <v>60</v>
      </c>
      <c r="I308" s="21">
        <v>12</v>
      </c>
      <c r="J308" s="21">
        <v>6</v>
      </c>
      <c r="K308" s="21">
        <v>33</v>
      </c>
      <c r="L308" s="21">
        <v>6</v>
      </c>
      <c r="M308" s="21">
        <v>9</v>
      </c>
      <c r="N308" s="21">
        <v>4.2</v>
      </c>
      <c r="O308" s="21">
        <v>7.8000000000000007</v>
      </c>
    </row>
    <row r="309" spans="1:15" x14ac:dyDescent="0.25">
      <c r="A309" s="35">
        <v>43522</v>
      </c>
      <c r="B309" s="16">
        <v>19</v>
      </c>
      <c r="C309" s="16" t="s">
        <v>79</v>
      </c>
      <c r="D309" s="21">
        <v>60</v>
      </c>
      <c r="E309" s="21">
        <v>12</v>
      </c>
      <c r="F309" s="21">
        <v>33</v>
      </c>
      <c r="G309" s="21">
        <v>15</v>
      </c>
      <c r="H309" s="21">
        <v>90</v>
      </c>
      <c r="I309" s="21">
        <v>18</v>
      </c>
      <c r="J309" s="21">
        <v>9</v>
      </c>
      <c r="K309" s="21">
        <v>49.500000000000007</v>
      </c>
      <c r="L309" s="21">
        <v>9</v>
      </c>
      <c r="M309" s="21">
        <v>13.5</v>
      </c>
      <c r="N309" s="21">
        <v>6.3000000000000007</v>
      </c>
      <c r="O309" s="21">
        <v>11.700000000000001</v>
      </c>
    </row>
    <row r="310" spans="1:15" x14ac:dyDescent="0.25">
      <c r="A310" s="35">
        <v>43522</v>
      </c>
      <c r="B310" s="16">
        <v>17</v>
      </c>
      <c r="C310" s="16" t="s">
        <v>77</v>
      </c>
      <c r="D310" s="21">
        <v>30</v>
      </c>
      <c r="E310" s="21">
        <v>6</v>
      </c>
      <c r="F310" s="21">
        <v>16.5</v>
      </c>
      <c r="G310" s="21">
        <v>7.5</v>
      </c>
      <c r="H310" s="21">
        <v>45</v>
      </c>
      <c r="I310" s="21">
        <v>9</v>
      </c>
      <c r="J310" s="21">
        <v>4.5</v>
      </c>
      <c r="K310" s="21">
        <v>24.750000000000004</v>
      </c>
      <c r="L310" s="21">
        <v>4.5</v>
      </c>
      <c r="M310" s="21">
        <v>6.75</v>
      </c>
      <c r="N310" s="21">
        <v>3.1500000000000004</v>
      </c>
      <c r="O310" s="21">
        <v>5.8500000000000005</v>
      </c>
    </row>
    <row r="311" spans="1:15" x14ac:dyDescent="0.25">
      <c r="A311" s="35">
        <v>43494</v>
      </c>
      <c r="B311" s="16">
        <v>13</v>
      </c>
      <c r="C311" s="16" t="s">
        <v>73</v>
      </c>
      <c r="D311" s="21">
        <v>32</v>
      </c>
      <c r="E311" s="21">
        <v>6.4</v>
      </c>
      <c r="F311" s="21">
        <v>17.600000000000001</v>
      </c>
      <c r="G311" s="21">
        <v>8</v>
      </c>
      <c r="H311" s="21">
        <v>48</v>
      </c>
      <c r="I311" s="21">
        <v>9.6</v>
      </c>
      <c r="J311" s="21">
        <v>4.8</v>
      </c>
      <c r="K311" s="21">
        <v>26.400000000000002</v>
      </c>
      <c r="L311" s="21">
        <v>4.8000000000000007</v>
      </c>
      <c r="M311" s="21">
        <v>7.1999999999999993</v>
      </c>
      <c r="N311" s="21">
        <v>3.3600000000000003</v>
      </c>
      <c r="O311" s="21">
        <v>6.24</v>
      </c>
    </row>
    <row r="312" spans="1:15" x14ac:dyDescent="0.25">
      <c r="A312" s="35">
        <v>43522</v>
      </c>
      <c r="B312" s="16">
        <v>20</v>
      </c>
      <c r="C312" s="16" t="s">
        <v>80</v>
      </c>
      <c r="D312" s="21">
        <v>32</v>
      </c>
      <c r="E312" s="21">
        <v>6.4</v>
      </c>
      <c r="F312" s="21">
        <v>17.600000000000001</v>
      </c>
      <c r="G312" s="21">
        <v>8</v>
      </c>
      <c r="H312" s="21">
        <v>48</v>
      </c>
      <c r="I312" s="21">
        <v>9.6</v>
      </c>
      <c r="J312" s="21">
        <v>4.8</v>
      </c>
      <c r="K312" s="21">
        <v>26.400000000000002</v>
      </c>
      <c r="L312" s="21">
        <v>4.8000000000000007</v>
      </c>
      <c r="M312" s="21">
        <v>7.1999999999999993</v>
      </c>
      <c r="N312" s="21">
        <v>3.3600000000000003</v>
      </c>
      <c r="O312" s="21">
        <v>6.24</v>
      </c>
    </row>
    <row r="313" spans="1:15" x14ac:dyDescent="0.25">
      <c r="A313" s="35">
        <v>43503</v>
      </c>
      <c r="B313" s="16">
        <v>11</v>
      </c>
      <c r="C313" s="16" t="s">
        <v>71</v>
      </c>
      <c r="D313" s="21">
        <v>65</v>
      </c>
      <c r="E313" s="21">
        <v>13</v>
      </c>
      <c r="F313" s="21">
        <v>35.75</v>
      </c>
      <c r="G313" s="21">
        <v>16.25</v>
      </c>
      <c r="H313" s="21">
        <v>97.5</v>
      </c>
      <c r="I313" s="21">
        <v>19.5</v>
      </c>
      <c r="J313" s="21">
        <v>9.75</v>
      </c>
      <c r="K313" s="21">
        <v>53.625000000000007</v>
      </c>
      <c r="L313" s="21">
        <v>9.75</v>
      </c>
      <c r="M313" s="21">
        <v>14.625</v>
      </c>
      <c r="N313" s="21">
        <v>6.8250000000000011</v>
      </c>
      <c r="O313" s="21">
        <v>12.675000000000001</v>
      </c>
    </row>
    <row r="314" spans="1:15" x14ac:dyDescent="0.25">
      <c r="A314" s="35">
        <v>43494</v>
      </c>
      <c r="B314" s="16">
        <v>12</v>
      </c>
      <c r="C314" s="16" t="s">
        <v>72</v>
      </c>
      <c r="D314" s="21">
        <v>65</v>
      </c>
      <c r="E314" s="21">
        <v>13</v>
      </c>
      <c r="F314" s="21">
        <v>35.75</v>
      </c>
      <c r="G314" s="21">
        <v>16.25</v>
      </c>
      <c r="H314" s="21">
        <v>97.5</v>
      </c>
      <c r="I314" s="21">
        <v>19.5</v>
      </c>
      <c r="J314" s="21">
        <v>9.75</v>
      </c>
      <c r="K314" s="21">
        <v>53.625000000000007</v>
      </c>
      <c r="L314" s="21">
        <v>9.75</v>
      </c>
      <c r="M314" s="21">
        <v>14.625</v>
      </c>
      <c r="N314" s="21">
        <v>6.8250000000000011</v>
      </c>
      <c r="O314" s="21">
        <v>12.675000000000001</v>
      </c>
    </row>
    <row r="315" spans="1:15" x14ac:dyDescent="0.25">
      <c r="A315" s="35">
        <v>43494</v>
      </c>
      <c r="B315" s="16">
        <v>19</v>
      </c>
      <c r="C315" s="16" t="s">
        <v>79</v>
      </c>
      <c r="D315" s="21">
        <v>45</v>
      </c>
      <c r="E315" s="21">
        <v>9</v>
      </c>
      <c r="F315" s="21">
        <v>24.750000000000004</v>
      </c>
      <c r="G315" s="21">
        <v>11.25</v>
      </c>
      <c r="H315" s="21">
        <v>67.5</v>
      </c>
      <c r="I315" s="21">
        <v>13.5</v>
      </c>
      <c r="J315" s="21">
        <v>6.75</v>
      </c>
      <c r="K315" s="21">
        <v>37.125</v>
      </c>
      <c r="L315" s="21">
        <v>6.75</v>
      </c>
      <c r="M315" s="21">
        <v>10.125</v>
      </c>
      <c r="N315" s="21">
        <v>4.7250000000000005</v>
      </c>
      <c r="O315" s="21">
        <v>8.7750000000000004</v>
      </c>
    </row>
    <row r="316" spans="1:15" x14ac:dyDescent="0.25">
      <c r="A316" s="35">
        <v>43523</v>
      </c>
      <c r="B316" s="16">
        <v>17</v>
      </c>
      <c r="C316" s="16" t="s">
        <v>77</v>
      </c>
      <c r="D316" s="21">
        <v>25</v>
      </c>
      <c r="E316" s="21">
        <v>5</v>
      </c>
      <c r="F316" s="21">
        <v>13.750000000000002</v>
      </c>
      <c r="G316" s="21">
        <v>6.25</v>
      </c>
      <c r="H316" s="21">
        <v>37.5</v>
      </c>
      <c r="I316" s="21">
        <v>7.5</v>
      </c>
      <c r="J316" s="21">
        <v>3.75</v>
      </c>
      <c r="K316" s="21">
        <v>20.625</v>
      </c>
      <c r="L316" s="21">
        <v>3.75</v>
      </c>
      <c r="M316" s="21">
        <v>5.625</v>
      </c>
      <c r="N316" s="21">
        <v>2.6250000000000004</v>
      </c>
      <c r="O316" s="21">
        <v>4.875</v>
      </c>
    </row>
    <row r="317" spans="1:15" x14ac:dyDescent="0.25">
      <c r="A317" s="35">
        <v>43495</v>
      </c>
      <c r="B317" s="16">
        <v>13</v>
      </c>
      <c r="C317" s="16" t="s">
        <v>73</v>
      </c>
      <c r="D317" s="21">
        <v>36</v>
      </c>
      <c r="E317" s="21">
        <v>7.2</v>
      </c>
      <c r="F317" s="21">
        <v>19.8</v>
      </c>
      <c r="G317" s="21">
        <v>9</v>
      </c>
      <c r="H317" s="21">
        <v>54</v>
      </c>
      <c r="I317" s="21">
        <v>10.799999999999999</v>
      </c>
      <c r="J317" s="21">
        <v>5.3999999999999995</v>
      </c>
      <c r="K317" s="21">
        <v>29.700000000000003</v>
      </c>
      <c r="L317" s="21">
        <v>5.4</v>
      </c>
      <c r="M317" s="21">
        <v>8.1</v>
      </c>
      <c r="N317" s="21">
        <v>3.7800000000000002</v>
      </c>
      <c r="O317" s="21">
        <v>7.0200000000000005</v>
      </c>
    </row>
    <row r="318" spans="1:15" x14ac:dyDescent="0.25">
      <c r="A318" s="35">
        <v>43504</v>
      </c>
      <c r="B318" s="16">
        <v>20</v>
      </c>
      <c r="C318" s="16" t="s">
        <v>80</v>
      </c>
      <c r="D318" s="21">
        <v>63</v>
      </c>
      <c r="E318" s="21">
        <v>12.600000000000001</v>
      </c>
      <c r="F318" s="21">
        <v>34.650000000000006</v>
      </c>
      <c r="G318" s="21">
        <v>15.75</v>
      </c>
      <c r="H318" s="21">
        <v>94.5</v>
      </c>
      <c r="I318" s="21">
        <v>18.899999999999999</v>
      </c>
      <c r="J318" s="21">
        <v>9.4499999999999993</v>
      </c>
      <c r="K318" s="21">
        <v>51.975000000000001</v>
      </c>
      <c r="L318" s="21">
        <v>9.4500000000000011</v>
      </c>
      <c r="M318" s="21">
        <v>14.174999999999999</v>
      </c>
      <c r="N318" s="21">
        <v>6.6150000000000002</v>
      </c>
      <c r="O318" s="21">
        <v>12.285</v>
      </c>
    </row>
    <row r="319" spans="1:15" x14ac:dyDescent="0.25">
      <c r="A319" s="35">
        <v>43524</v>
      </c>
      <c r="B319" s="16">
        <v>4</v>
      </c>
      <c r="C319" s="16" t="s">
        <v>67</v>
      </c>
      <c r="D319" s="21">
        <v>52</v>
      </c>
      <c r="E319" s="21">
        <v>10.4</v>
      </c>
      <c r="F319" s="21">
        <v>28.6</v>
      </c>
      <c r="G319" s="21">
        <v>13</v>
      </c>
      <c r="H319" s="21">
        <v>78</v>
      </c>
      <c r="I319" s="21">
        <v>15.6</v>
      </c>
      <c r="J319" s="21">
        <v>7.8</v>
      </c>
      <c r="K319" s="21">
        <v>42.900000000000006</v>
      </c>
      <c r="L319" s="21">
        <v>7.8000000000000007</v>
      </c>
      <c r="M319" s="21">
        <v>11.7</v>
      </c>
      <c r="N319" s="21">
        <v>5.4600000000000009</v>
      </c>
      <c r="O319" s="21">
        <v>10.14</v>
      </c>
    </row>
    <row r="320" spans="1:15" x14ac:dyDescent="0.25">
      <c r="A320" s="35">
        <v>43496</v>
      </c>
      <c r="B320" s="16">
        <v>16</v>
      </c>
      <c r="C320" s="16" t="s">
        <v>76</v>
      </c>
      <c r="D320" s="21">
        <v>45</v>
      </c>
      <c r="E320" s="21">
        <v>9</v>
      </c>
      <c r="F320" s="21">
        <v>24.750000000000004</v>
      </c>
      <c r="G320" s="21">
        <v>11.25</v>
      </c>
      <c r="H320" s="21">
        <v>67.5</v>
      </c>
      <c r="I320" s="21">
        <v>13.5</v>
      </c>
      <c r="J320" s="21">
        <v>6.75</v>
      </c>
      <c r="K320" s="21">
        <v>37.125</v>
      </c>
      <c r="L320" s="21">
        <v>6.75</v>
      </c>
      <c r="M320" s="21">
        <v>10.125</v>
      </c>
      <c r="N320" s="21">
        <v>4.7250000000000005</v>
      </c>
      <c r="O320" s="21">
        <v>8.7750000000000004</v>
      </c>
    </row>
    <row r="321" spans="1:15" x14ac:dyDescent="0.25">
      <c r="A321" s="35">
        <v>43529</v>
      </c>
      <c r="B321" s="16">
        <v>3</v>
      </c>
      <c r="C321" s="16" t="s">
        <v>66</v>
      </c>
      <c r="D321" s="21">
        <v>65</v>
      </c>
      <c r="E321" s="21">
        <v>13</v>
      </c>
      <c r="F321" s="21">
        <v>35.75</v>
      </c>
      <c r="G321" s="21">
        <v>16.25</v>
      </c>
      <c r="H321" s="21">
        <v>97.5</v>
      </c>
      <c r="I321" s="21">
        <v>19.5</v>
      </c>
      <c r="J321" s="21">
        <v>9.75</v>
      </c>
      <c r="K321" s="21">
        <v>53.625000000000007</v>
      </c>
      <c r="L321" s="21">
        <v>9.75</v>
      </c>
      <c r="M321" s="21">
        <v>14.625</v>
      </c>
      <c r="N321" s="21">
        <v>6.8250000000000011</v>
      </c>
      <c r="O321" s="21">
        <v>12.675000000000001</v>
      </c>
    </row>
    <row r="322" spans="1:15" x14ac:dyDescent="0.25">
      <c r="A322" s="35">
        <v>43529</v>
      </c>
      <c r="B322" s="16">
        <v>4</v>
      </c>
      <c r="C322" s="16" t="s">
        <v>67</v>
      </c>
      <c r="D322" s="21">
        <v>56</v>
      </c>
      <c r="E322" s="21">
        <v>11.200000000000001</v>
      </c>
      <c r="F322" s="21">
        <v>30.800000000000004</v>
      </c>
      <c r="G322" s="21">
        <v>14</v>
      </c>
      <c r="H322" s="21">
        <v>84</v>
      </c>
      <c r="I322" s="21">
        <v>16.8</v>
      </c>
      <c r="J322" s="21">
        <v>8.4</v>
      </c>
      <c r="K322" s="21">
        <v>46.2</v>
      </c>
      <c r="L322" s="21">
        <v>8.4</v>
      </c>
      <c r="M322" s="21">
        <v>12.6</v>
      </c>
      <c r="N322" s="21">
        <v>5.8800000000000008</v>
      </c>
      <c r="O322" s="21">
        <v>10.92</v>
      </c>
    </row>
    <row r="323" spans="1:15" x14ac:dyDescent="0.25">
      <c r="A323" s="35">
        <v>43505</v>
      </c>
      <c r="B323" s="16">
        <v>16</v>
      </c>
      <c r="C323" s="16" t="s">
        <v>76</v>
      </c>
      <c r="D323" s="21">
        <v>65</v>
      </c>
      <c r="E323" s="21">
        <v>13</v>
      </c>
      <c r="F323" s="21">
        <v>35.75</v>
      </c>
      <c r="G323" s="21">
        <v>16.25</v>
      </c>
      <c r="H323" s="21">
        <v>97.5</v>
      </c>
      <c r="I323" s="21">
        <v>19.5</v>
      </c>
      <c r="J323" s="21">
        <v>9.75</v>
      </c>
      <c r="K323" s="21">
        <v>53.625000000000007</v>
      </c>
      <c r="L323" s="21">
        <v>9.75</v>
      </c>
      <c r="M323" s="21">
        <v>14.625</v>
      </c>
      <c r="N323" s="21">
        <v>6.8250000000000011</v>
      </c>
      <c r="O323" s="21">
        <v>12.675000000000001</v>
      </c>
    </row>
    <row r="324" spans="1:15" x14ac:dyDescent="0.25">
      <c r="A324" s="35">
        <v>43529</v>
      </c>
      <c r="B324" s="16">
        <v>3</v>
      </c>
      <c r="C324" s="16" t="s">
        <v>66</v>
      </c>
      <c r="D324" s="21">
        <v>15</v>
      </c>
      <c r="E324" s="21">
        <v>3</v>
      </c>
      <c r="F324" s="21">
        <v>8.25</v>
      </c>
      <c r="G324" s="21">
        <v>3.75</v>
      </c>
      <c r="H324" s="21">
        <v>22.5</v>
      </c>
      <c r="I324" s="21">
        <v>4.5</v>
      </c>
      <c r="J324" s="21">
        <v>2.25</v>
      </c>
      <c r="K324" s="21">
        <v>12.375000000000002</v>
      </c>
      <c r="L324" s="21">
        <v>2.25</v>
      </c>
      <c r="M324" s="21">
        <v>3.375</v>
      </c>
      <c r="N324" s="21">
        <v>1.5750000000000002</v>
      </c>
      <c r="O324" s="21">
        <v>2.9250000000000003</v>
      </c>
    </row>
    <row r="325" spans="1:15" x14ac:dyDescent="0.25">
      <c r="A325" s="35">
        <v>43497</v>
      </c>
      <c r="B325" s="16">
        <v>2</v>
      </c>
      <c r="C325" s="16" t="s">
        <v>65</v>
      </c>
      <c r="D325" s="21">
        <v>28</v>
      </c>
      <c r="E325" s="21">
        <v>5.6000000000000005</v>
      </c>
      <c r="F325" s="21">
        <v>15.400000000000002</v>
      </c>
      <c r="G325" s="21">
        <v>7</v>
      </c>
      <c r="H325" s="21">
        <v>42</v>
      </c>
      <c r="I325" s="21">
        <v>8.4</v>
      </c>
      <c r="J325" s="21">
        <v>4.2</v>
      </c>
      <c r="K325" s="21">
        <v>23.1</v>
      </c>
      <c r="L325" s="21">
        <v>4.2</v>
      </c>
      <c r="M325" s="21">
        <v>6.3</v>
      </c>
      <c r="N325" s="21">
        <v>2.9400000000000004</v>
      </c>
      <c r="O325" s="21">
        <v>5.46</v>
      </c>
    </row>
    <row r="326" spans="1:15" x14ac:dyDescent="0.25">
      <c r="A326" s="35">
        <v>43507</v>
      </c>
      <c r="B326" s="16">
        <v>1</v>
      </c>
      <c r="C326" s="16" t="s">
        <v>3</v>
      </c>
      <c r="D326" s="21">
        <v>14</v>
      </c>
      <c r="E326" s="21">
        <v>2.8000000000000003</v>
      </c>
      <c r="F326" s="21">
        <v>7.7000000000000011</v>
      </c>
      <c r="G326" s="21">
        <v>3.5</v>
      </c>
      <c r="H326" s="21">
        <v>21</v>
      </c>
      <c r="I326" s="21">
        <v>4.2</v>
      </c>
      <c r="J326" s="21">
        <v>2.1</v>
      </c>
      <c r="K326" s="21">
        <v>11.55</v>
      </c>
      <c r="L326" s="21">
        <v>2.1</v>
      </c>
      <c r="M326" s="21">
        <v>3.15</v>
      </c>
      <c r="N326" s="21">
        <v>1.4700000000000002</v>
      </c>
      <c r="O326" s="21">
        <v>2.73</v>
      </c>
    </row>
    <row r="327" spans="1:15" x14ac:dyDescent="0.25">
      <c r="A327" s="35">
        <v>43507</v>
      </c>
      <c r="B327" s="16">
        <v>18</v>
      </c>
      <c r="C327" s="16" t="s">
        <v>78</v>
      </c>
      <c r="D327" s="21">
        <v>12</v>
      </c>
      <c r="E327" s="21">
        <v>2.4000000000000004</v>
      </c>
      <c r="F327" s="21">
        <v>6.6000000000000005</v>
      </c>
      <c r="G327" s="21">
        <v>3</v>
      </c>
      <c r="H327" s="21">
        <v>18</v>
      </c>
      <c r="I327" s="21">
        <v>3.5999999999999996</v>
      </c>
      <c r="J327" s="21">
        <v>1.7999999999999998</v>
      </c>
      <c r="K327" s="21">
        <v>9.9</v>
      </c>
      <c r="L327" s="21">
        <v>1.8</v>
      </c>
      <c r="M327" s="21">
        <v>2.6999999999999997</v>
      </c>
      <c r="N327" s="21">
        <v>1.2600000000000002</v>
      </c>
      <c r="O327" s="21">
        <v>2.34</v>
      </c>
    </row>
    <row r="328" spans="1:15" x14ac:dyDescent="0.25">
      <c r="A328" s="35">
        <v>43530</v>
      </c>
      <c r="B328" s="16">
        <v>9</v>
      </c>
      <c r="C328" s="16" t="s">
        <v>70</v>
      </c>
      <c r="D328" s="21">
        <v>65</v>
      </c>
      <c r="E328" s="21">
        <v>13</v>
      </c>
      <c r="F328" s="21">
        <v>35.75</v>
      </c>
      <c r="G328" s="21">
        <v>16.25</v>
      </c>
      <c r="H328" s="21">
        <v>97.5</v>
      </c>
      <c r="I328" s="21">
        <v>19.5</v>
      </c>
      <c r="J328" s="21">
        <v>9.75</v>
      </c>
      <c r="K328" s="21">
        <v>53.625000000000007</v>
      </c>
      <c r="L328" s="21">
        <v>9.75</v>
      </c>
      <c r="M328" s="21">
        <v>14.625</v>
      </c>
      <c r="N328" s="21">
        <v>6.8250000000000011</v>
      </c>
      <c r="O328" s="21">
        <v>12.675000000000001</v>
      </c>
    </row>
    <row r="329" spans="1:15" x14ac:dyDescent="0.25">
      <c r="A329" s="35">
        <v>43530</v>
      </c>
      <c r="B329" s="16">
        <v>6</v>
      </c>
      <c r="C329" s="16" t="s">
        <v>68</v>
      </c>
      <c r="D329" s="21">
        <v>98</v>
      </c>
      <c r="E329" s="21">
        <v>19.600000000000001</v>
      </c>
      <c r="F329" s="21">
        <v>53.900000000000006</v>
      </c>
      <c r="G329" s="21">
        <v>24.5</v>
      </c>
      <c r="H329" s="21">
        <v>147</v>
      </c>
      <c r="I329" s="21">
        <v>29.4</v>
      </c>
      <c r="J329" s="21">
        <v>14.7</v>
      </c>
      <c r="K329" s="21">
        <v>80.850000000000009</v>
      </c>
      <c r="L329" s="21">
        <v>14.700000000000001</v>
      </c>
      <c r="M329" s="21">
        <v>22.05</v>
      </c>
      <c r="N329" s="21">
        <v>10.290000000000001</v>
      </c>
      <c r="O329" s="21">
        <v>19.11</v>
      </c>
    </row>
    <row r="330" spans="1:15" x14ac:dyDescent="0.25">
      <c r="A330" s="35">
        <v>43526</v>
      </c>
      <c r="B330" s="16">
        <v>15</v>
      </c>
      <c r="C330" s="16" t="s">
        <v>75</v>
      </c>
      <c r="D330" s="21">
        <v>56</v>
      </c>
      <c r="E330" s="21">
        <v>11.200000000000001</v>
      </c>
      <c r="F330" s="21">
        <v>30.800000000000004</v>
      </c>
      <c r="G330" s="21">
        <v>14</v>
      </c>
      <c r="H330" s="21">
        <v>84</v>
      </c>
      <c r="I330" s="21">
        <v>16.8</v>
      </c>
      <c r="J330" s="21">
        <v>8.4</v>
      </c>
      <c r="K330" s="21">
        <v>46.2</v>
      </c>
      <c r="L330" s="21">
        <v>8.4</v>
      </c>
      <c r="M330" s="21">
        <v>12.6</v>
      </c>
      <c r="N330" s="21">
        <v>5.8800000000000008</v>
      </c>
      <c r="O330" s="21">
        <v>10.92</v>
      </c>
    </row>
    <row r="331" spans="1:15" x14ac:dyDescent="0.25">
      <c r="A331" s="35">
        <v>43526</v>
      </c>
      <c r="B331" s="16">
        <v>8</v>
      </c>
      <c r="C331" s="16" t="s">
        <v>4</v>
      </c>
      <c r="D331" s="21">
        <v>55</v>
      </c>
      <c r="E331" s="21">
        <v>11</v>
      </c>
      <c r="F331" s="21">
        <v>30.250000000000004</v>
      </c>
      <c r="G331" s="21">
        <v>13.75</v>
      </c>
      <c r="H331" s="21">
        <v>82.5</v>
      </c>
      <c r="I331" s="21">
        <v>16.5</v>
      </c>
      <c r="J331" s="21">
        <v>8.25</v>
      </c>
      <c r="K331" s="21">
        <v>45.375000000000007</v>
      </c>
      <c r="L331" s="21">
        <v>8.25</v>
      </c>
      <c r="M331" s="21">
        <v>12.375</v>
      </c>
      <c r="N331" s="21">
        <v>5.7750000000000004</v>
      </c>
      <c r="O331" s="21">
        <v>10.725</v>
      </c>
    </row>
    <row r="332" spans="1:15" x14ac:dyDescent="0.25">
      <c r="A332" s="35">
        <v>43528</v>
      </c>
      <c r="B332" s="16">
        <v>7</v>
      </c>
      <c r="C332" s="16" t="s">
        <v>69</v>
      </c>
      <c r="D332" s="21">
        <v>44</v>
      </c>
      <c r="E332" s="21">
        <v>8.8000000000000007</v>
      </c>
      <c r="F332" s="21">
        <v>24.200000000000003</v>
      </c>
      <c r="G332" s="21">
        <v>11</v>
      </c>
      <c r="H332" s="21">
        <v>66</v>
      </c>
      <c r="I332" s="21">
        <v>13.2</v>
      </c>
      <c r="J332" s="21">
        <v>6.6</v>
      </c>
      <c r="K332" s="21">
        <v>36.300000000000004</v>
      </c>
      <c r="L332" s="21">
        <v>6.6000000000000005</v>
      </c>
      <c r="M332" s="21">
        <v>9.9</v>
      </c>
      <c r="N332" s="21">
        <v>4.62</v>
      </c>
      <c r="O332" s="21">
        <v>8.58</v>
      </c>
    </row>
    <row r="333" spans="1:15" x14ac:dyDescent="0.25">
      <c r="A333" s="35">
        <v>43528</v>
      </c>
      <c r="B333" s="16">
        <v>10</v>
      </c>
      <c r="C333" s="16" t="s">
        <v>5</v>
      </c>
      <c r="D333" s="21">
        <v>10</v>
      </c>
      <c r="E333" s="21">
        <v>2</v>
      </c>
      <c r="F333" s="21">
        <v>5.5</v>
      </c>
      <c r="G333" s="21">
        <v>2.5</v>
      </c>
      <c r="H333" s="21">
        <v>15</v>
      </c>
      <c r="I333" s="21">
        <v>3</v>
      </c>
      <c r="J333" s="21">
        <v>1.5</v>
      </c>
      <c r="K333" s="21">
        <v>8.25</v>
      </c>
      <c r="L333" s="21">
        <v>1.5</v>
      </c>
      <c r="M333" s="21">
        <v>2.25</v>
      </c>
      <c r="N333" s="21">
        <v>1.05</v>
      </c>
      <c r="O333" s="21">
        <v>1.9500000000000002</v>
      </c>
    </row>
    <row r="334" spans="1:15" x14ac:dyDescent="0.25">
      <c r="A334" s="35">
        <v>43528</v>
      </c>
      <c r="B334" s="16">
        <v>21</v>
      </c>
      <c r="C334" s="16" t="s">
        <v>81</v>
      </c>
      <c r="D334" s="21">
        <v>60</v>
      </c>
      <c r="E334" s="21">
        <v>12</v>
      </c>
      <c r="F334" s="21">
        <v>33</v>
      </c>
      <c r="G334" s="21">
        <v>15</v>
      </c>
      <c r="H334" s="21">
        <v>90</v>
      </c>
      <c r="I334" s="21">
        <v>18</v>
      </c>
      <c r="J334" s="21">
        <v>9</v>
      </c>
      <c r="K334" s="21">
        <v>49.500000000000007</v>
      </c>
      <c r="L334" s="21">
        <v>9</v>
      </c>
      <c r="M334" s="21">
        <v>13.5</v>
      </c>
      <c r="N334" s="21">
        <v>6.3000000000000007</v>
      </c>
      <c r="O334" s="21">
        <v>11.700000000000001</v>
      </c>
    </row>
    <row r="335" spans="1:15" x14ac:dyDescent="0.25">
      <c r="A335" s="35">
        <v>43529</v>
      </c>
      <c r="B335" s="16">
        <v>14</v>
      </c>
      <c r="C335" s="16" t="s">
        <v>74</v>
      </c>
      <c r="D335" s="21">
        <v>80</v>
      </c>
      <c r="E335" s="21">
        <v>16</v>
      </c>
      <c r="F335" s="21">
        <v>44</v>
      </c>
      <c r="G335" s="21">
        <v>20</v>
      </c>
      <c r="H335" s="21">
        <v>120</v>
      </c>
      <c r="I335" s="21">
        <v>24</v>
      </c>
      <c r="J335" s="21">
        <v>12</v>
      </c>
      <c r="K335" s="21">
        <v>66</v>
      </c>
      <c r="L335" s="21">
        <v>12</v>
      </c>
      <c r="M335" s="21">
        <v>18</v>
      </c>
      <c r="N335" s="21">
        <v>8.4</v>
      </c>
      <c r="O335" s="21">
        <v>15.600000000000001</v>
      </c>
    </row>
    <row r="336" spans="1:15" x14ac:dyDescent="0.25">
      <c r="A336" s="35">
        <v>43529</v>
      </c>
      <c r="B336" s="16">
        <v>5</v>
      </c>
      <c r="C336" s="16" t="s">
        <v>6</v>
      </c>
      <c r="D336" s="21">
        <v>99</v>
      </c>
      <c r="E336" s="21">
        <v>19.8</v>
      </c>
      <c r="F336" s="21">
        <v>54.45</v>
      </c>
      <c r="G336" s="21">
        <v>24.75</v>
      </c>
      <c r="H336" s="21">
        <v>148.5</v>
      </c>
      <c r="I336" s="21">
        <v>29.7</v>
      </c>
      <c r="J336" s="21">
        <v>14.85</v>
      </c>
      <c r="K336" s="21">
        <v>81.675000000000011</v>
      </c>
      <c r="L336" s="21">
        <v>14.850000000000001</v>
      </c>
      <c r="M336" s="21">
        <v>22.274999999999999</v>
      </c>
      <c r="N336" s="21">
        <v>10.395000000000001</v>
      </c>
      <c r="O336" s="21">
        <v>19.305</v>
      </c>
    </row>
    <row r="337" spans="1:15" x14ac:dyDescent="0.25">
      <c r="A337" s="35">
        <v>43530</v>
      </c>
      <c r="B337" s="16">
        <v>12</v>
      </c>
      <c r="C337" s="16" t="s">
        <v>72</v>
      </c>
      <c r="D337" s="21">
        <v>80</v>
      </c>
      <c r="E337" s="21">
        <v>16</v>
      </c>
      <c r="F337" s="21">
        <v>44</v>
      </c>
      <c r="G337" s="21">
        <v>20</v>
      </c>
      <c r="H337" s="21">
        <v>120</v>
      </c>
      <c r="I337" s="21">
        <v>24</v>
      </c>
      <c r="J337" s="21">
        <v>12</v>
      </c>
      <c r="K337" s="21">
        <v>66</v>
      </c>
      <c r="L337" s="21">
        <v>12</v>
      </c>
      <c r="M337" s="21">
        <v>18</v>
      </c>
      <c r="N337" s="21">
        <v>8.4</v>
      </c>
      <c r="O337" s="21">
        <v>15.600000000000001</v>
      </c>
    </row>
    <row r="338" spans="1:15" x14ac:dyDescent="0.25">
      <c r="A338" s="35">
        <v>43530</v>
      </c>
      <c r="B338" s="16">
        <v>19</v>
      </c>
      <c r="C338" s="16" t="s">
        <v>79</v>
      </c>
      <c r="D338" s="21">
        <v>45</v>
      </c>
      <c r="E338" s="21">
        <v>9</v>
      </c>
      <c r="F338" s="21">
        <v>24.750000000000004</v>
      </c>
      <c r="G338" s="21">
        <v>11.25</v>
      </c>
      <c r="H338" s="21">
        <v>67.5</v>
      </c>
      <c r="I338" s="21">
        <v>13.5</v>
      </c>
      <c r="J338" s="21">
        <v>6.75</v>
      </c>
      <c r="K338" s="21">
        <v>37.125</v>
      </c>
      <c r="L338" s="21">
        <v>6.75</v>
      </c>
      <c r="M338" s="21">
        <v>10.125</v>
      </c>
      <c r="N338" s="21">
        <v>4.7250000000000005</v>
      </c>
      <c r="O338" s="21">
        <v>8.7750000000000004</v>
      </c>
    </row>
    <row r="339" spans="1:15" x14ac:dyDescent="0.25">
      <c r="A339" s="35">
        <v>43509</v>
      </c>
      <c r="B339" s="16">
        <v>17</v>
      </c>
      <c r="C339" s="16" t="s">
        <v>77</v>
      </c>
      <c r="D339" s="21">
        <v>23</v>
      </c>
      <c r="E339" s="21">
        <v>4.6000000000000005</v>
      </c>
      <c r="F339" s="21">
        <v>12.65</v>
      </c>
      <c r="G339" s="21">
        <v>5.75</v>
      </c>
      <c r="H339" s="21">
        <v>34.5</v>
      </c>
      <c r="I339" s="21">
        <v>6.8999999999999995</v>
      </c>
      <c r="J339" s="21">
        <v>3.4499999999999997</v>
      </c>
      <c r="K339" s="21">
        <v>18.975000000000001</v>
      </c>
      <c r="L339" s="21">
        <v>3.45</v>
      </c>
      <c r="M339" s="21">
        <v>5.1749999999999998</v>
      </c>
      <c r="N339" s="21">
        <v>2.415</v>
      </c>
      <c r="O339" s="21">
        <v>4.4850000000000003</v>
      </c>
    </row>
    <row r="340" spans="1:15" x14ac:dyDescent="0.25">
      <c r="A340" s="35">
        <v>43509</v>
      </c>
      <c r="B340" s="16">
        <v>13</v>
      </c>
      <c r="C340" s="16" t="s">
        <v>73</v>
      </c>
      <c r="D340" s="21">
        <v>78</v>
      </c>
      <c r="E340" s="21">
        <v>15.600000000000001</v>
      </c>
      <c r="F340" s="21">
        <v>42.900000000000006</v>
      </c>
      <c r="G340" s="21">
        <v>19.5</v>
      </c>
      <c r="H340" s="21">
        <v>117</v>
      </c>
      <c r="I340" s="21">
        <v>23.4</v>
      </c>
      <c r="J340" s="21">
        <v>11.7</v>
      </c>
      <c r="K340" s="21">
        <v>64.350000000000009</v>
      </c>
      <c r="L340" s="21">
        <v>11.700000000000001</v>
      </c>
      <c r="M340" s="21">
        <v>17.55</v>
      </c>
      <c r="N340" s="21">
        <v>8.1900000000000013</v>
      </c>
      <c r="O340" s="21">
        <v>15.21</v>
      </c>
    </row>
    <row r="341" spans="1:15" x14ac:dyDescent="0.25">
      <c r="A341" s="35">
        <v>43509</v>
      </c>
      <c r="B341" s="16">
        <v>20</v>
      </c>
      <c r="C341" s="16" t="s">
        <v>80</v>
      </c>
      <c r="D341" s="21">
        <v>56</v>
      </c>
      <c r="E341" s="21">
        <v>11.200000000000001</v>
      </c>
      <c r="F341" s="21">
        <v>30.800000000000004</v>
      </c>
      <c r="G341" s="21">
        <v>14</v>
      </c>
      <c r="H341" s="21">
        <v>84</v>
      </c>
      <c r="I341" s="21">
        <v>16.8</v>
      </c>
      <c r="J341" s="21">
        <v>8.4</v>
      </c>
      <c r="K341" s="21">
        <v>46.2</v>
      </c>
      <c r="L341" s="21">
        <v>8.4</v>
      </c>
      <c r="M341" s="21">
        <v>12.6</v>
      </c>
      <c r="N341" s="21">
        <v>5.8800000000000008</v>
      </c>
      <c r="O341" s="21">
        <v>10.92</v>
      </c>
    </row>
    <row r="342" spans="1:15" x14ac:dyDescent="0.25">
      <c r="A342" s="35">
        <v>43531</v>
      </c>
      <c r="B342" s="16">
        <v>11</v>
      </c>
      <c r="C342" s="16" t="s">
        <v>71</v>
      </c>
      <c r="D342" s="21">
        <v>46</v>
      </c>
      <c r="E342" s="21">
        <v>9.2000000000000011</v>
      </c>
      <c r="F342" s="21">
        <v>25.3</v>
      </c>
      <c r="G342" s="21">
        <v>11.5</v>
      </c>
      <c r="H342" s="21">
        <v>69</v>
      </c>
      <c r="I342" s="21">
        <v>13.799999999999999</v>
      </c>
      <c r="J342" s="21">
        <v>6.8999999999999995</v>
      </c>
      <c r="K342" s="21">
        <v>37.950000000000003</v>
      </c>
      <c r="L342" s="21">
        <v>6.9</v>
      </c>
      <c r="M342" s="21">
        <v>10.35</v>
      </c>
      <c r="N342" s="21">
        <v>4.83</v>
      </c>
      <c r="O342" s="21">
        <v>8.9700000000000006</v>
      </c>
    </row>
    <row r="343" spans="1:15" x14ac:dyDescent="0.25">
      <c r="A343" s="35">
        <v>43531</v>
      </c>
      <c r="B343" s="16">
        <v>1</v>
      </c>
      <c r="C343" s="16" t="s">
        <v>3</v>
      </c>
      <c r="D343" s="21">
        <v>14</v>
      </c>
      <c r="E343" s="21">
        <v>2.8000000000000003</v>
      </c>
      <c r="F343" s="21">
        <v>7.7000000000000011</v>
      </c>
      <c r="G343" s="21">
        <v>3.5</v>
      </c>
      <c r="H343" s="21">
        <v>21</v>
      </c>
      <c r="I343" s="21">
        <v>4.2</v>
      </c>
      <c r="J343" s="21">
        <v>2.1</v>
      </c>
      <c r="K343" s="21">
        <v>11.55</v>
      </c>
      <c r="L343" s="21">
        <v>2.1</v>
      </c>
      <c r="M343" s="21">
        <v>3.15</v>
      </c>
      <c r="N343" s="21">
        <v>1.4700000000000002</v>
      </c>
      <c r="O343" s="21">
        <v>2.73</v>
      </c>
    </row>
    <row r="344" spans="1:15" x14ac:dyDescent="0.25">
      <c r="A344" s="35">
        <v>43531</v>
      </c>
      <c r="B344" s="16">
        <v>18</v>
      </c>
      <c r="C344" s="16" t="s">
        <v>78</v>
      </c>
      <c r="D344" s="21">
        <v>52</v>
      </c>
      <c r="E344" s="21">
        <v>10.4</v>
      </c>
      <c r="F344" s="21">
        <v>28.6</v>
      </c>
      <c r="G344" s="21">
        <v>13</v>
      </c>
      <c r="H344" s="21">
        <v>78</v>
      </c>
      <c r="I344" s="21">
        <v>15.6</v>
      </c>
      <c r="J344" s="21">
        <v>7.8</v>
      </c>
      <c r="K344" s="21">
        <v>42.900000000000006</v>
      </c>
      <c r="L344" s="21">
        <v>7.8000000000000007</v>
      </c>
      <c r="M344" s="21">
        <v>11.7</v>
      </c>
      <c r="N344" s="21">
        <v>5.4600000000000009</v>
      </c>
      <c r="O344" s="21">
        <v>10.14</v>
      </c>
    </row>
    <row r="345" spans="1:15" x14ac:dyDescent="0.25">
      <c r="A345" s="35">
        <v>43531</v>
      </c>
      <c r="B345" s="16">
        <v>9</v>
      </c>
      <c r="C345" s="16" t="s">
        <v>70</v>
      </c>
      <c r="D345" s="21">
        <v>52</v>
      </c>
      <c r="E345" s="21">
        <v>10.4</v>
      </c>
      <c r="F345" s="21">
        <v>28.6</v>
      </c>
      <c r="G345" s="21">
        <v>13</v>
      </c>
      <c r="H345" s="21">
        <v>78</v>
      </c>
      <c r="I345" s="21">
        <v>15.6</v>
      </c>
      <c r="J345" s="21">
        <v>7.8</v>
      </c>
      <c r="K345" s="21">
        <v>42.900000000000006</v>
      </c>
      <c r="L345" s="21">
        <v>7.8000000000000007</v>
      </c>
      <c r="M345" s="21">
        <v>11.7</v>
      </c>
      <c r="N345" s="21">
        <v>5.4600000000000009</v>
      </c>
      <c r="O345" s="21">
        <v>10.14</v>
      </c>
    </row>
    <row r="346" spans="1:15" x14ac:dyDescent="0.25">
      <c r="A346" s="35">
        <v>43509</v>
      </c>
      <c r="B346" s="16">
        <v>6</v>
      </c>
      <c r="C346" s="16" t="s">
        <v>68</v>
      </c>
      <c r="D346" s="21">
        <v>63</v>
      </c>
      <c r="E346" s="21">
        <v>12.600000000000001</v>
      </c>
      <c r="F346" s="21">
        <v>34.650000000000006</v>
      </c>
      <c r="G346" s="21">
        <v>15.75</v>
      </c>
      <c r="H346" s="21">
        <v>94.5</v>
      </c>
      <c r="I346" s="21">
        <v>18.899999999999999</v>
      </c>
      <c r="J346" s="21">
        <v>9.4499999999999993</v>
      </c>
      <c r="K346" s="21">
        <v>51.975000000000001</v>
      </c>
      <c r="L346" s="21">
        <v>9.4500000000000011</v>
      </c>
      <c r="M346" s="21">
        <v>14.174999999999999</v>
      </c>
      <c r="N346" s="21">
        <v>6.6150000000000002</v>
      </c>
      <c r="O346" s="21">
        <v>12.285</v>
      </c>
    </row>
    <row r="347" spans="1:15" x14ac:dyDescent="0.25">
      <c r="A347" s="35">
        <v>43532</v>
      </c>
      <c r="B347" s="16">
        <v>15</v>
      </c>
      <c r="C347" s="16" t="s">
        <v>75</v>
      </c>
      <c r="D347" s="21">
        <v>65</v>
      </c>
      <c r="E347" s="21">
        <v>13</v>
      </c>
      <c r="F347" s="21">
        <v>35.75</v>
      </c>
      <c r="G347" s="21">
        <v>16.25</v>
      </c>
      <c r="H347" s="21">
        <v>97.5</v>
      </c>
      <c r="I347" s="21">
        <v>19.5</v>
      </c>
      <c r="J347" s="21">
        <v>9.75</v>
      </c>
      <c r="K347" s="21">
        <v>53.625000000000007</v>
      </c>
      <c r="L347" s="21">
        <v>9.75</v>
      </c>
      <c r="M347" s="21">
        <v>14.625</v>
      </c>
      <c r="N347" s="21">
        <v>6.8250000000000011</v>
      </c>
      <c r="O347" s="21">
        <v>12.675000000000001</v>
      </c>
    </row>
    <row r="348" spans="1:15" x14ac:dyDescent="0.25">
      <c r="A348" s="35">
        <v>43533</v>
      </c>
      <c r="B348" s="16">
        <v>8</v>
      </c>
      <c r="C348" s="16" t="s">
        <v>4</v>
      </c>
      <c r="D348" s="21">
        <v>68</v>
      </c>
      <c r="E348" s="21">
        <v>13.600000000000001</v>
      </c>
      <c r="F348" s="21">
        <v>37.400000000000006</v>
      </c>
      <c r="G348" s="21">
        <v>17</v>
      </c>
      <c r="H348" s="21">
        <v>102</v>
      </c>
      <c r="I348" s="21">
        <v>20.399999999999999</v>
      </c>
      <c r="J348" s="21">
        <v>10.199999999999999</v>
      </c>
      <c r="K348" s="21">
        <v>56.1</v>
      </c>
      <c r="L348" s="21">
        <v>10.200000000000001</v>
      </c>
      <c r="M348" s="21">
        <v>15.299999999999999</v>
      </c>
      <c r="N348" s="21">
        <v>7.1400000000000006</v>
      </c>
      <c r="O348" s="21">
        <v>13.26</v>
      </c>
    </row>
    <row r="349" spans="1:15" x14ac:dyDescent="0.25">
      <c r="A349" s="35">
        <v>43532</v>
      </c>
      <c r="B349" s="16">
        <v>7</v>
      </c>
      <c r="C349" s="16" t="s">
        <v>69</v>
      </c>
      <c r="D349" s="21">
        <v>74</v>
      </c>
      <c r="E349" s="21">
        <v>14.8</v>
      </c>
      <c r="F349" s="21">
        <v>40.700000000000003</v>
      </c>
      <c r="G349" s="21">
        <v>18.5</v>
      </c>
      <c r="H349" s="21">
        <v>111</v>
      </c>
      <c r="I349" s="21">
        <v>22.2</v>
      </c>
      <c r="J349" s="21">
        <v>11.1</v>
      </c>
      <c r="K349" s="21">
        <v>61.050000000000004</v>
      </c>
      <c r="L349" s="21">
        <v>11.100000000000001</v>
      </c>
      <c r="M349" s="21">
        <v>16.649999999999999</v>
      </c>
      <c r="N349" s="21">
        <v>7.7700000000000005</v>
      </c>
      <c r="O349" s="21">
        <v>14.43</v>
      </c>
    </row>
    <row r="350" spans="1:15" x14ac:dyDescent="0.25">
      <c r="A350" s="35">
        <v>43532</v>
      </c>
      <c r="B350" s="16">
        <v>10</v>
      </c>
      <c r="C350" s="16" t="s">
        <v>5</v>
      </c>
      <c r="D350" s="21">
        <v>65</v>
      </c>
      <c r="E350" s="21">
        <v>13</v>
      </c>
      <c r="F350" s="21">
        <v>35.75</v>
      </c>
      <c r="G350" s="21">
        <v>16.25</v>
      </c>
      <c r="H350" s="21">
        <v>97.5</v>
      </c>
      <c r="I350" s="21">
        <v>19.5</v>
      </c>
      <c r="J350" s="21">
        <v>9.75</v>
      </c>
      <c r="K350" s="21">
        <v>53.625000000000007</v>
      </c>
      <c r="L350" s="21">
        <v>9.75</v>
      </c>
      <c r="M350" s="21">
        <v>14.625</v>
      </c>
      <c r="N350" s="21">
        <v>6.8250000000000011</v>
      </c>
      <c r="O350" s="21">
        <v>12.675000000000001</v>
      </c>
    </row>
    <row r="351" spans="1:15" x14ac:dyDescent="0.25">
      <c r="A351" s="35">
        <v>43532</v>
      </c>
      <c r="B351" s="16">
        <v>21</v>
      </c>
      <c r="C351" s="16" t="s">
        <v>81</v>
      </c>
      <c r="D351" s="21">
        <v>45</v>
      </c>
      <c r="E351" s="21">
        <v>9</v>
      </c>
      <c r="F351" s="21">
        <v>24.750000000000004</v>
      </c>
      <c r="G351" s="21">
        <v>11.25</v>
      </c>
      <c r="H351" s="21">
        <v>67.5</v>
      </c>
      <c r="I351" s="21">
        <v>13.5</v>
      </c>
      <c r="J351" s="21">
        <v>6.75</v>
      </c>
      <c r="K351" s="21">
        <v>37.125</v>
      </c>
      <c r="L351" s="21">
        <v>6.75</v>
      </c>
      <c r="M351" s="21">
        <v>10.125</v>
      </c>
      <c r="N351" s="21">
        <v>4.7250000000000005</v>
      </c>
      <c r="O351" s="21">
        <v>8.7750000000000004</v>
      </c>
    </row>
    <row r="352" spans="1:15" x14ac:dyDescent="0.25">
      <c r="A352" s="35">
        <v>43532</v>
      </c>
      <c r="B352" s="16">
        <v>14</v>
      </c>
      <c r="C352" s="16" t="s">
        <v>74</v>
      </c>
      <c r="D352" s="21">
        <v>32</v>
      </c>
      <c r="E352" s="21">
        <v>6.4</v>
      </c>
      <c r="F352" s="21">
        <v>17.600000000000001</v>
      </c>
      <c r="G352" s="21">
        <v>8</v>
      </c>
      <c r="H352" s="21">
        <v>48</v>
      </c>
      <c r="I352" s="21">
        <v>9.6</v>
      </c>
      <c r="J352" s="21">
        <v>4.8</v>
      </c>
      <c r="K352" s="21">
        <v>26.400000000000002</v>
      </c>
      <c r="L352" s="21">
        <v>4.8000000000000007</v>
      </c>
      <c r="M352" s="21">
        <v>7.1999999999999993</v>
      </c>
      <c r="N352" s="21">
        <v>3.3600000000000003</v>
      </c>
      <c r="O352" s="21">
        <v>6.24</v>
      </c>
    </row>
    <row r="353" spans="1:15" x14ac:dyDescent="0.25">
      <c r="A353" s="35">
        <v>43532</v>
      </c>
      <c r="B353" s="16">
        <v>5</v>
      </c>
      <c r="C353" s="16" t="s">
        <v>6</v>
      </c>
      <c r="D353" s="21">
        <v>12</v>
      </c>
      <c r="E353" s="21">
        <v>2.4000000000000004</v>
      </c>
      <c r="F353" s="21">
        <v>6.6000000000000005</v>
      </c>
      <c r="G353" s="21">
        <v>3</v>
      </c>
      <c r="H353" s="21">
        <v>18</v>
      </c>
      <c r="I353" s="21">
        <v>3.5999999999999996</v>
      </c>
      <c r="J353" s="21">
        <v>1.7999999999999998</v>
      </c>
      <c r="K353" s="21">
        <v>9.9</v>
      </c>
      <c r="L353" s="21">
        <v>1.8</v>
      </c>
      <c r="M353" s="21">
        <v>2.6999999999999997</v>
      </c>
      <c r="N353" s="21">
        <v>1.2600000000000002</v>
      </c>
      <c r="O353" s="21">
        <v>2.34</v>
      </c>
    </row>
    <row r="354" spans="1:15" x14ac:dyDescent="0.25">
      <c r="A354" s="35">
        <v>43535</v>
      </c>
      <c r="B354" s="16">
        <v>12</v>
      </c>
      <c r="C354" s="16" t="s">
        <v>72</v>
      </c>
      <c r="D354" s="21">
        <v>45</v>
      </c>
      <c r="E354" s="21">
        <v>9</v>
      </c>
      <c r="F354" s="21">
        <v>24.750000000000004</v>
      </c>
      <c r="G354" s="21">
        <v>11.25</v>
      </c>
      <c r="H354" s="21">
        <v>67.5</v>
      </c>
      <c r="I354" s="21">
        <v>13.5</v>
      </c>
      <c r="J354" s="21">
        <v>6.75</v>
      </c>
      <c r="K354" s="21">
        <v>37.125</v>
      </c>
      <c r="L354" s="21">
        <v>6.75</v>
      </c>
      <c r="M354" s="21">
        <v>10.125</v>
      </c>
      <c r="N354" s="21">
        <v>4.7250000000000005</v>
      </c>
      <c r="O354" s="21">
        <v>8.7750000000000004</v>
      </c>
    </row>
    <row r="355" spans="1:15" x14ac:dyDescent="0.25">
      <c r="A355" s="35">
        <v>43535</v>
      </c>
      <c r="B355" s="16">
        <v>19</v>
      </c>
      <c r="C355" s="16" t="s">
        <v>79</v>
      </c>
      <c r="D355" s="21">
        <v>45</v>
      </c>
      <c r="E355" s="21">
        <v>9</v>
      </c>
      <c r="F355" s="21">
        <v>24.750000000000004</v>
      </c>
      <c r="G355" s="21">
        <v>11.25</v>
      </c>
      <c r="H355" s="21">
        <v>67.5</v>
      </c>
      <c r="I355" s="21">
        <v>13.5</v>
      </c>
      <c r="J355" s="21">
        <v>6.75</v>
      </c>
      <c r="K355" s="21">
        <v>37.125</v>
      </c>
      <c r="L355" s="21">
        <v>6.75</v>
      </c>
      <c r="M355" s="21">
        <v>10.125</v>
      </c>
      <c r="N355" s="21">
        <v>4.7250000000000005</v>
      </c>
      <c r="O355" s="21">
        <v>8.7750000000000004</v>
      </c>
    </row>
    <row r="356" spans="1:15" x14ac:dyDescent="0.25">
      <c r="A356" s="35">
        <v>43535</v>
      </c>
      <c r="B356" s="16">
        <v>4</v>
      </c>
      <c r="C356" s="16" t="s">
        <v>67</v>
      </c>
      <c r="D356" s="21">
        <v>20</v>
      </c>
      <c r="E356" s="21">
        <v>4</v>
      </c>
      <c r="F356" s="21">
        <v>11</v>
      </c>
      <c r="G356" s="21">
        <v>5</v>
      </c>
      <c r="H356" s="21">
        <v>30</v>
      </c>
      <c r="I356" s="21">
        <v>6</v>
      </c>
      <c r="J356" s="21">
        <v>3</v>
      </c>
      <c r="K356" s="21">
        <v>16.5</v>
      </c>
      <c r="L356" s="21">
        <v>3</v>
      </c>
      <c r="M356" s="21">
        <v>4.5</v>
      </c>
      <c r="N356" s="21">
        <v>2.1</v>
      </c>
      <c r="O356" s="21">
        <v>3.9000000000000004</v>
      </c>
    </row>
    <row r="357" spans="1:15" x14ac:dyDescent="0.25">
      <c r="A357" s="35">
        <v>43510</v>
      </c>
      <c r="B357" s="16">
        <v>16</v>
      </c>
      <c r="C357" s="16" t="s">
        <v>76</v>
      </c>
      <c r="D357" s="21">
        <v>60</v>
      </c>
      <c r="E357" s="21">
        <v>12</v>
      </c>
      <c r="F357" s="21">
        <v>33</v>
      </c>
      <c r="G357" s="21">
        <v>15</v>
      </c>
      <c r="H357" s="21">
        <v>90</v>
      </c>
      <c r="I357" s="21">
        <v>18</v>
      </c>
      <c r="J357" s="21">
        <v>9</v>
      </c>
      <c r="K357" s="21">
        <v>49.500000000000007</v>
      </c>
      <c r="L357" s="21">
        <v>9</v>
      </c>
      <c r="M357" s="21">
        <v>13.5</v>
      </c>
      <c r="N357" s="21">
        <v>6.3000000000000007</v>
      </c>
      <c r="O357" s="21">
        <v>11.700000000000001</v>
      </c>
    </row>
    <row r="358" spans="1:15" x14ac:dyDescent="0.25">
      <c r="A358" s="35">
        <v>43510</v>
      </c>
      <c r="B358" s="16">
        <v>3</v>
      </c>
      <c r="C358" s="16" t="s">
        <v>66</v>
      </c>
      <c r="D358" s="21">
        <v>15</v>
      </c>
      <c r="E358" s="21">
        <v>3</v>
      </c>
      <c r="F358" s="21">
        <v>8.25</v>
      </c>
      <c r="G358" s="21">
        <v>3.75</v>
      </c>
      <c r="H358" s="21">
        <v>22.5</v>
      </c>
      <c r="I358" s="21">
        <v>4.5</v>
      </c>
      <c r="J358" s="21">
        <v>2.25</v>
      </c>
      <c r="K358" s="21">
        <v>12.375000000000002</v>
      </c>
      <c r="L358" s="21">
        <v>2.25</v>
      </c>
      <c r="M358" s="21">
        <v>3.375</v>
      </c>
      <c r="N358" s="21">
        <v>1.5750000000000002</v>
      </c>
      <c r="O358" s="21">
        <v>2.9250000000000003</v>
      </c>
    </row>
    <row r="359" spans="1:15" x14ac:dyDescent="0.25">
      <c r="A359" s="35">
        <v>43510</v>
      </c>
      <c r="B359" s="16">
        <v>2</v>
      </c>
      <c r="C359" s="16" t="s">
        <v>65</v>
      </c>
      <c r="D359" s="21">
        <v>60</v>
      </c>
      <c r="E359" s="21">
        <v>12</v>
      </c>
      <c r="F359" s="21">
        <v>33</v>
      </c>
      <c r="G359" s="21">
        <v>15</v>
      </c>
      <c r="H359" s="21">
        <v>90</v>
      </c>
      <c r="I359" s="21">
        <v>18</v>
      </c>
      <c r="J359" s="21">
        <v>9</v>
      </c>
      <c r="K359" s="21">
        <v>49.500000000000007</v>
      </c>
      <c r="L359" s="21">
        <v>9</v>
      </c>
      <c r="M359" s="21">
        <v>13.5</v>
      </c>
      <c r="N359" s="21">
        <v>6.3000000000000007</v>
      </c>
      <c r="O359" s="21">
        <v>11.700000000000001</v>
      </c>
    </row>
    <row r="360" spans="1:15" x14ac:dyDescent="0.25">
      <c r="A360" s="35">
        <v>43535</v>
      </c>
      <c r="B360" s="16">
        <v>1</v>
      </c>
      <c r="C360" s="16" t="s">
        <v>3</v>
      </c>
      <c r="D360" s="21">
        <v>40</v>
      </c>
      <c r="E360" s="21">
        <v>8</v>
      </c>
      <c r="F360" s="21">
        <v>22</v>
      </c>
      <c r="G360" s="21">
        <v>10</v>
      </c>
      <c r="H360" s="21">
        <v>60</v>
      </c>
      <c r="I360" s="21">
        <v>12</v>
      </c>
      <c r="J360" s="21">
        <v>6</v>
      </c>
      <c r="K360" s="21">
        <v>33</v>
      </c>
      <c r="L360" s="21">
        <v>6</v>
      </c>
      <c r="M360" s="21">
        <v>9</v>
      </c>
      <c r="N360" s="21">
        <v>4.2</v>
      </c>
      <c r="O360" s="21">
        <v>7.8000000000000007</v>
      </c>
    </row>
    <row r="361" spans="1:15" x14ac:dyDescent="0.25">
      <c r="A361" s="35">
        <v>43536</v>
      </c>
      <c r="B361" s="16">
        <v>18</v>
      </c>
      <c r="C361" s="16" t="s">
        <v>78</v>
      </c>
      <c r="D361" s="21">
        <v>50</v>
      </c>
      <c r="E361" s="21">
        <v>10</v>
      </c>
      <c r="F361" s="21">
        <v>27.500000000000004</v>
      </c>
      <c r="G361" s="21">
        <v>12.5</v>
      </c>
      <c r="H361" s="21">
        <v>75</v>
      </c>
      <c r="I361" s="21">
        <v>15</v>
      </c>
      <c r="J361" s="21">
        <v>7.5</v>
      </c>
      <c r="K361" s="21">
        <v>41.25</v>
      </c>
      <c r="L361" s="21">
        <v>7.5</v>
      </c>
      <c r="M361" s="21">
        <v>11.25</v>
      </c>
      <c r="N361" s="21">
        <v>5.2500000000000009</v>
      </c>
      <c r="O361" s="21">
        <v>9.75</v>
      </c>
    </row>
    <row r="362" spans="1:15" x14ac:dyDescent="0.25">
      <c r="A362" s="35">
        <v>43536</v>
      </c>
      <c r="B362" s="16">
        <v>4</v>
      </c>
      <c r="C362" s="16" t="s">
        <v>67</v>
      </c>
      <c r="D362" s="21">
        <v>22</v>
      </c>
      <c r="E362" s="21">
        <v>4.4000000000000004</v>
      </c>
      <c r="F362" s="21">
        <v>12.100000000000001</v>
      </c>
      <c r="G362" s="21">
        <v>5.5</v>
      </c>
      <c r="H362" s="21">
        <v>33</v>
      </c>
      <c r="I362" s="21">
        <v>6.6</v>
      </c>
      <c r="J362" s="21">
        <v>3.3</v>
      </c>
      <c r="K362" s="21">
        <v>18.150000000000002</v>
      </c>
      <c r="L362" s="21">
        <v>3.3000000000000003</v>
      </c>
      <c r="M362" s="21">
        <v>4.95</v>
      </c>
      <c r="N362" s="21">
        <v>2.31</v>
      </c>
      <c r="O362" s="21">
        <v>4.29</v>
      </c>
    </row>
    <row r="363" spans="1:15" x14ac:dyDescent="0.25">
      <c r="A363" s="35">
        <v>43536</v>
      </c>
      <c r="B363" s="16">
        <v>16</v>
      </c>
      <c r="C363" s="16" t="s">
        <v>76</v>
      </c>
      <c r="D363" s="21">
        <v>35</v>
      </c>
      <c r="E363" s="21">
        <v>7</v>
      </c>
      <c r="F363" s="21">
        <v>19.25</v>
      </c>
      <c r="G363" s="21">
        <v>8.75</v>
      </c>
      <c r="H363" s="21">
        <v>52.5</v>
      </c>
      <c r="I363" s="21">
        <v>10.5</v>
      </c>
      <c r="J363" s="21">
        <v>5.25</v>
      </c>
      <c r="K363" s="21">
        <v>28.875000000000004</v>
      </c>
      <c r="L363" s="21">
        <v>5.25</v>
      </c>
      <c r="M363" s="21">
        <v>7.875</v>
      </c>
      <c r="N363" s="21">
        <v>3.6750000000000003</v>
      </c>
      <c r="O363" s="21">
        <v>6.8250000000000002</v>
      </c>
    </row>
    <row r="364" spans="1:15" x14ac:dyDescent="0.25">
      <c r="A364" s="35">
        <v>43537</v>
      </c>
      <c r="B364" s="16">
        <v>3</v>
      </c>
      <c r="C364" s="16" t="s">
        <v>66</v>
      </c>
      <c r="D364" s="21">
        <v>54</v>
      </c>
      <c r="E364" s="21">
        <v>10.8</v>
      </c>
      <c r="F364" s="21">
        <v>29.700000000000003</v>
      </c>
      <c r="G364" s="21">
        <v>13.5</v>
      </c>
      <c r="H364" s="21">
        <v>81</v>
      </c>
      <c r="I364" s="21">
        <v>16.2</v>
      </c>
      <c r="J364" s="21">
        <v>8.1</v>
      </c>
      <c r="K364" s="21">
        <v>44.550000000000004</v>
      </c>
      <c r="L364" s="21">
        <v>8.1</v>
      </c>
      <c r="M364" s="21">
        <v>12.15</v>
      </c>
      <c r="N364" s="21">
        <v>5.6700000000000008</v>
      </c>
      <c r="O364" s="21">
        <v>10.530000000000001</v>
      </c>
    </row>
    <row r="365" spans="1:15" x14ac:dyDescent="0.25">
      <c r="A365" s="35">
        <v>43537</v>
      </c>
      <c r="B365" s="16">
        <v>2</v>
      </c>
      <c r="C365" s="16" t="s">
        <v>65</v>
      </c>
      <c r="D365" s="21">
        <v>56</v>
      </c>
      <c r="E365" s="21">
        <v>11.200000000000001</v>
      </c>
      <c r="F365" s="21">
        <v>30.800000000000004</v>
      </c>
      <c r="G365" s="21">
        <v>14</v>
      </c>
      <c r="H365" s="21">
        <v>84</v>
      </c>
      <c r="I365" s="21">
        <v>16.8</v>
      </c>
      <c r="J365" s="21">
        <v>8.4</v>
      </c>
      <c r="K365" s="21">
        <v>46.2</v>
      </c>
      <c r="L365" s="21">
        <v>8.4</v>
      </c>
      <c r="M365" s="21">
        <v>12.6</v>
      </c>
      <c r="N365" s="21">
        <v>5.8800000000000008</v>
      </c>
      <c r="O365" s="21">
        <v>10.92</v>
      </c>
    </row>
    <row r="366" spans="1:15" x14ac:dyDescent="0.25">
      <c r="A366" s="35">
        <v>43538</v>
      </c>
      <c r="B366" s="16">
        <v>1</v>
      </c>
      <c r="C366" s="16" t="s">
        <v>3</v>
      </c>
      <c r="D366" s="21">
        <v>48</v>
      </c>
      <c r="E366" s="21">
        <v>9.6000000000000014</v>
      </c>
      <c r="F366" s="21">
        <v>26.400000000000002</v>
      </c>
      <c r="G366" s="21">
        <v>12</v>
      </c>
      <c r="H366" s="21">
        <v>72</v>
      </c>
      <c r="I366" s="21">
        <v>14.399999999999999</v>
      </c>
      <c r="J366" s="21">
        <v>7.1999999999999993</v>
      </c>
      <c r="K366" s="21">
        <v>39.6</v>
      </c>
      <c r="L366" s="21">
        <v>7.2</v>
      </c>
      <c r="M366" s="21">
        <v>10.799999999999999</v>
      </c>
      <c r="N366" s="21">
        <v>5.0400000000000009</v>
      </c>
      <c r="O366" s="21">
        <v>9.36</v>
      </c>
    </row>
    <row r="367" spans="1:15" x14ac:dyDescent="0.25">
      <c r="A367" s="35">
        <v>43538</v>
      </c>
      <c r="B367" s="16">
        <v>18</v>
      </c>
      <c r="C367" s="16" t="s">
        <v>78</v>
      </c>
      <c r="D367" s="21">
        <v>45</v>
      </c>
      <c r="E367" s="21">
        <v>9</v>
      </c>
      <c r="F367" s="21">
        <v>24.750000000000004</v>
      </c>
      <c r="G367" s="21">
        <v>11.25</v>
      </c>
      <c r="H367" s="21">
        <v>67.5</v>
      </c>
      <c r="I367" s="21">
        <v>13.5</v>
      </c>
      <c r="J367" s="21">
        <v>6.75</v>
      </c>
      <c r="K367" s="21">
        <v>37.125</v>
      </c>
      <c r="L367" s="21">
        <v>6.75</v>
      </c>
      <c r="M367" s="21">
        <v>10.125</v>
      </c>
      <c r="N367" s="21">
        <v>4.7250000000000005</v>
      </c>
      <c r="O367" s="21">
        <v>8.7750000000000004</v>
      </c>
    </row>
    <row r="368" spans="1:15" x14ac:dyDescent="0.25">
      <c r="A368" s="35">
        <v>43538</v>
      </c>
      <c r="B368" s="16">
        <v>9</v>
      </c>
      <c r="C368" s="16" t="s">
        <v>70</v>
      </c>
      <c r="D368" s="21">
        <v>22</v>
      </c>
      <c r="E368" s="21">
        <v>4.4000000000000004</v>
      </c>
      <c r="F368" s="21">
        <v>12.100000000000001</v>
      </c>
      <c r="G368" s="21">
        <v>5.5</v>
      </c>
      <c r="H368" s="21">
        <v>33</v>
      </c>
      <c r="I368" s="21">
        <v>6.6</v>
      </c>
      <c r="J368" s="21">
        <v>3.3</v>
      </c>
      <c r="K368" s="21">
        <v>18.150000000000002</v>
      </c>
      <c r="L368" s="21">
        <v>3.3000000000000003</v>
      </c>
      <c r="M368" s="21">
        <v>4.95</v>
      </c>
      <c r="N368" s="21">
        <v>2.31</v>
      </c>
      <c r="O368" s="21">
        <v>4.29</v>
      </c>
    </row>
    <row r="369" spans="1:15" x14ac:dyDescent="0.25">
      <c r="A369" s="35">
        <v>43538</v>
      </c>
      <c r="B369" s="16">
        <v>6</v>
      </c>
      <c r="C369" s="16" t="s">
        <v>68</v>
      </c>
      <c r="D369" s="21">
        <v>33</v>
      </c>
      <c r="E369" s="21">
        <v>6.6000000000000005</v>
      </c>
      <c r="F369" s="21">
        <v>18.150000000000002</v>
      </c>
      <c r="G369" s="21">
        <v>8.25</v>
      </c>
      <c r="H369" s="21">
        <v>49.5</v>
      </c>
      <c r="I369" s="21">
        <v>9.9</v>
      </c>
      <c r="J369" s="21">
        <v>4.95</v>
      </c>
      <c r="K369" s="21">
        <v>27.225000000000001</v>
      </c>
      <c r="L369" s="21">
        <v>4.95</v>
      </c>
      <c r="M369" s="21">
        <v>7.4249999999999998</v>
      </c>
      <c r="N369" s="21">
        <v>3.4650000000000003</v>
      </c>
      <c r="O369" s="21">
        <v>6.4350000000000005</v>
      </c>
    </row>
    <row r="370" spans="1:15" x14ac:dyDescent="0.25">
      <c r="A370" s="35">
        <v>43535</v>
      </c>
      <c r="B370" s="16">
        <v>15</v>
      </c>
      <c r="C370" s="16" t="s">
        <v>75</v>
      </c>
      <c r="D370" s="21">
        <v>34</v>
      </c>
      <c r="E370" s="21">
        <v>6.8000000000000007</v>
      </c>
      <c r="F370" s="21">
        <v>18.700000000000003</v>
      </c>
      <c r="G370" s="21">
        <v>8.5</v>
      </c>
      <c r="H370" s="21">
        <v>51</v>
      </c>
      <c r="I370" s="21">
        <v>10.199999999999999</v>
      </c>
      <c r="J370" s="21">
        <v>5.0999999999999996</v>
      </c>
      <c r="K370" s="21">
        <v>28.05</v>
      </c>
      <c r="L370" s="21">
        <v>5.1000000000000005</v>
      </c>
      <c r="M370" s="21">
        <v>7.6499999999999995</v>
      </c>
      <c r="N370" s="21">
        <v>3.5700000000000003</v>
      </c>
      <c r="O370" s="21">
        <v>6.63</v>
      </c>
    </row>
    <row r="371" spans="1:15" x14ac:dyDescent="0.25">
      <c r="A371" s="35">
        <v>43504</v>
      </c>
      <c r="B371" s="16">
        <v>8</v>
      </c>
      <c r="C371" s="16" t="s">
        <v>4</v>
      </c>
      <c r="D371" s="21">
        <v>635</v>
      </c>
      <c r="E371" s="21">
        <v>127</v>
      </c>
      <c r="F371" s="21">
        <v>349.25</v>
      </c>
      <c r="G371" s="21">
        <v>158.75</v>
      </c>
      <c r="H371" s="21">
        <v>952.5</v>
      </c>
      <c r="I371" s="21">
        <v>190.5</v>
      </c>
      <c r="J371" s="21">
        <v>95.25</v>
      </c>
      <c r="K371" s="21">
        <v>523.875</v>
      </c>
      <c r="L371" s="21">
        <v>95.25</v>
      </c>
      <c r="M371" s="21">
        <v>142.875</v>
      </c>
      <c r="N371" s="21">
        <v>66.675000000000011</v>
      </c>
      <c r="O371" s="21">
        <v>123.825</v>
      </c>
    </row>
    <row r="372" spans="1:15" x14ac:dyDescent="0.25">
      <c r="A372" s="35">
        <v>43504</v>
      </c>
      <c r="B372" s="16">
        <v>7</v>
      </c>
      <c r="C372" s="16" t="s">
        <v>69</v>
      </c>
      <c r="D372" s="21">
        <v>56</v>
      </c>
      <c r="E372" s="21">
        <v>11.200000000000001</v>
      </c>
      <c r="F372" s="21">
        <v>30.800000000000004</v>
      </c>
      <c r="G372" s="21">
        <v>14</v>
      </c>
      <c r="H372" s="21">
        <v>84</v>
      </c>
      <c r="I372" s="21">
        <v>16.8</v>
      </c>
      <c r="J372" s="21">
        <v>8.4</v>
      </c>
      <c r="K372" s="21">
        <v>46.2</v>
      </c>
      <c r="L372" s="21">
        <v>8.4</v>
      </c>
      <c r="M372" s="21">
        <v>12.6</v>
      </c>
      <c r="N372" s="21">
        <v>5.8800000000000008</v>
      </c>
      <c r="O372" s="21">
        <v>10.92</v>
      </c>
    </row>
    <row r="373" spans="1:15" x14ac:dyDescent="0.25">
      <c r="A373" s="35">
        <v>43504</v>
      </c>
      <c r="B373" s="16">
        <v>10</v>
      </c>
      <c r="C373" s="16" t="s">
        <v>5</v>
      </c>
      <c r="D373" s="21">
        <v>45</v>
      </c>
      <c r="E373" s="21">
        <v>9</v>
      </c>
      <c r="F373" s="21">
        <v>24.750000000000004</v>
      </c>
      <c r="G373" s="21">
        <v>11.25</v>
      </c>
      <c r="H373" s="21">
        <v>67.5</v>
      </c>
      <c r="I373" s="21">
        <v>13.5</v>
      </c>
      <c r="J373" s="21">
        <v>6.75</v>
      </c>
      <c r="K373" s="21">
        <v>37.125</v>
      </c>
      <c r="L373" s="21">
        <v>6.75</v>
      </c>
      <c r="M373" s="21">
        <v>10.125</v>
      </c>
      <c r="N373" s="21">
        <v>4.7250000000000005</v>
      </c>
      <c r="O373" s="21">
        <v>8.7750000000000004</v>
      </c>
    </row>
    <row r="374" spans="1:15" x14ac:dyDescent="0.25">
      <c r="A374" s="35">
        <v>43539</v>
      </c>
      <c r="B374" s="16">
        <v>21</v>
      </c>
      <c r="C374" s="16" t="s">
        <v>81</v>
      </c>
      <c r="D374" s="21">
        <v>65</v>
      </c>
      <c r="E374" s="21">
        <v>13</v>
      </c>
      <c r="F374" s="21">
        <v>35.75</v>
      </c>
      <c r="G374" s="21">
        <v>16.25</v>
      </c>
      <c r="H374" s="21">
        <v>97.5</v>
      </c>
      <c r="I374" s="21">
        <v>19.5</v>
      </c>
      <c r="J374" s="21">
        <v>9.75</v>
      </c>
      <c r="K374" s="21">
        <v>53.625000000000007</v>
      </c>
      <c r="L374" s="21">
        <v>9.75</v>
      </c>
      <c r="M374" s="21">
        <v>14.625</v>
      </c>
      <c r="N374" s="21">
        <v>6.8250000000000011</v>
      </c>
      <c r="O374" s="21">
        <v>12.675000000000001</v>
      </c>
    </row>
    <row r="375" spans="1:15" x14ac:dyDescent="0.25">
      <c r="A375" s="35">
        <v>43540</v>
      </c>
      <c r="B375" s="16">
        <v>14</v>
      </c>
      <c r="C375" s="16" t="s">
        <v>74</v>
      </c>
      <c r="D375" s="21">
        <v>23</v>
      </c>
      <c r="E375" s="21">
        <v>4.6000000000000005</v>
      </c>
      <c r="F375" s="21">
        <v>12.65</v>
      </c>
      <c r="G375" s="21">
        <v>5.75</v>
      </c>
      <c r="H375" s="21">
        <v>34.5</v>
      </c>
      <c r="I375" s="21">
        <v>6.8999999999999995</v>
      </c>
      <c r="J375" s="21">
        <v>3.4499999999999997</v>
      </c>
      <c r="K375" s="21">
        <v>18.975000000000001</v>
      </c>
      <c r="L375" s="21">
        <v>3.45</v>
      </c>
      <c r="M375" s="21">
        <v>5.1749999999999998</v>
      </c>
      <c r="N375" s="21">
        <v>2.415</v>
      </c>
      <c r="O375" s="21">
        <v>4.4850000000000003</v>
      </c>
    </row>
    <row r="376" spans="1:15" x14ac:dyDescent="0.25">
      <c r="A376" s="35">
        <v>43540</v>
      </c>
      <c r="B376" s="16">
        <v>5</v>
      </c>
      <c r="C376" s="16" t="s">
        <v>6</v>
      </c>
      <c r="D376" s="21">
        <v>65</v>
      </c>
      <c r="E376" s="21">
        <v>13</v>
      </c>
      <c r="F376" s="21">
        <v>35.75</v>
      </c>
      <c r="G376" s="21">
        <v>16.25</v>
      </c>
      <c r="H376" s="21">
        <v>97.5</v>
      </c>
      <c r="I376" s="21">
        <v>19.5</v>
      </c>
      <c r="J376" s="21">
        <v>9.75</v>
      </c>
      <c r="K376" s="21">
        <v>53.625000000000007</v>
      </c>
      <c r="L376" s="21">
        <v>9.75</v>
      </c>
      <c r="M376" s="21">
        <v>14.625</v>
      </c>
      <c r="N376" s="21">
        <v>6.8250000000000011</v>
      </c>
      <c r="O376" s="21">
        <v>12.675000000000001</v>
      </c>
    </row>
    <row r="377" spans="1:15" x14ac:dyDescent="0.25">
      <c r="A377" s="35">
        <v>43542</v>
      </c>
      <c r="B377" s="16">
        <v>12</v>
      </c>
      <c r="C377" s="16" t="s">
        <v>72</v>
      </c>
      <c r="D377" s="21">
        <v>60</v>
      </c>
      <c r="E377" s="21">
        <v>12</v>
      </c>
      <c r="F377" s="21">
        <v>33</v>
      </c>
      <c r="G377" s="21">
        <v>15</v>
      </c>
      <c r="H377" s="21">
        <v>90</v>
      </c>
      <c r="I377" s="21">
        <v>18</v>
      </c>
      <c r="J377" s="21">
        <v>9</v>
      </c>
      <c r="K377" s="21">
        <v>49.500000000000007</v>
      </c>
      <c r="L377" s="21">
        <v>9</v>
      </c>
      <c r="M377" s="21">
        <v>13.5</v>
      </c>
      <c r="N377" s="21">
        <v>6.3000000000000007</v>
      </c>
      <c r="O377" s="21">
        <v>11.700000000000001</v>
      </c>
    </row>
    <row r="378" spans="1:15" x14ac:dyDescent="0.25">
      <c r="A378" s="35">
        <v>43542</v>
      </c>
      <c r="B378" s="16">
        <v>19</v>
      </c>
      <c r="C378" s="16" t="s">
        <v>79</v>
      </c>
      <c r="D378" s="21">
        <v>50</v>
      </c>
      <c r="E378" s="21">
        <v>10</v>
      </c>
      <c r="F378" s="21">
        <v>27.500000000000004</v>
      </c>
      <c r="G378" s="21">
        <v>12.5</v>
      </c>
      <c r="H378" s="21">
        <v>75</v>
      </c>
      <c r="I378" s="21">
        <v>15</v>
      </c>
      <c r="J378" s="21">
        <v>7.5</v>
      </c>
      <c r="K378" s="21">
        <v>41.25</v>
      </c>
      <c r="L378" s="21">
        <v>7.5</v>
      </c>
      <c r="M378" s="21">
        <v>11.25</v>
      </c>
      <c r="N378" s="21">
        <v>5.2500000000000009</v>
      </c>
      <c r="O378" s="21">
        <v>9.75</v>
      </c>
    </row>
    <row r="379" spans="1:15" x14ac:dyDescent="0.25">
      <c r="A379" s="35">
        <v>43542</v>
      </c>
      <c r="B379" s="16">
        <v>17</v>
      </c>
      <c r="C379" s="16" t="s">
        <v>77</v>
      </c>
      <c r="D379" s="21">
        <v>40</v>
      </c>
      <c r="E379" s="21">
        <v>8</v>
      </c>
      <c r="F379" s="21">
        <v>22</v>
      </c>
      <c r="G379" s="21">
        <v>10</v>
      </c>
      <c r="H379" s="21">
        <v>60</v>
      </c>
      <c r="I379" s="21">
        <v>12</v>
      </c>
      <c r="J379" s="21">
        <v>6</v>
      </c>
      <c r="K379" s="21">
        <v>33</v>
      </c>
      <c r="L379" s="21">
        <v>6</v>
      </c>
      <c r="M379" s="21">
        <v>9</v>
      </c>
      <c r="N379" s="21">
        <v>4.2</v>
      </c>
      <c r="O379" s="21">
        <v>7.8000000000000007</v>
      </c>
    </row>
    <row r="380" spans="1:15" x14ac:dyDescent="0.25">
      <c r="A380" s="35">
        <v>43542</v>
      </c>
      <c r="B380" s="16">
        <v>13</v>
      </c>
      <c r="C380" s="16" t="s">
        <v>73</v>
      </c>
      <c r="D380" s="21">
        <v>60</v>
      </c>
      <c r="E380" s="21">
        <v>12</v>
      </c>
      <c r="F380" s="21">
        <v>33</v>
      </c>
      <c r="G380" s="21">
        <v>15</v>
      </c>
      <c r="H380" s="21">
        <v>90</v>
      </c>
      <c r="I380" s="21">
        <v>18</v>
      </c>
      <c r="J380" s="21">
        <v>9</v>
      </c>
      <c r="K380" s="21">
        <v>49.500000000000007</v>
      </c>
      <c r="L380" s="21">
        <v>9</v>
      </c>
      <c r="M380" s="21">
        <v>13.5</v>
      </c>
      <c r="N380" s="21">
        <v>6.3000000000000007</v>
      </c>
      <c r="O380" s="21">
        <v>11.700000000000001</v>
      </c>
    </row>
    <row r="381" spans="1:15" x14ac:dyDescent="0.25">
      <c r="A381" s="35">
        <v>43543</v>
      </c>
      <c r="B381" s="16">
        <v>20</v>
      </c>
      <c r="C381" s="16" t="s">
        <v>80</v>
      </c>
      <c r="D381" s="21">
        <v>30</v>
      </c>
      <c r="E381" s="21">
        <v>6</v>
      </c>
      <c r="F381" s="21">
        <v>16.5</v>
      </c>
      <c r="G381" s="21">
        <v>7.5</v>
      </c>
      <c r="H381" s="21">
        <v>45</v>
      </c>
      <c r="I381" s="21">
        <v>9</v>
      </c>
      <c r="J381" s="21">
        <v>4.5</v>
      </c>
      <c r="K381" s="21">
        <v>24.750000000000004</v>
      </c>
      <c r="L381" s="21">
        <v>4.5</v>
      </c>
      <c r="M381" s="21">
        <v>6.75</v>
      </c>
      <c r="N381" s="21">
        <v>3.1500000000000004</v>
      </c>
      <c r="O381" s="21">
        <v>5.8500000000000005</v>
      </c>
    </row>
    <row r="382" spans="1:15" x14ac:dyDescent="0.25">
      <c r="A382" s="35">
        <v>43511</v>
      </c>
      <c r="B382" s="16">
        <v>11</v>
      </c>
      <c r="C382" s="16" t="s">
        <v>71</v>
      </c>
      <c r="D382" s="21">
        <v>32</v>
      </c>
      <c r="E382" s="21">
        <v>6.4</v>
      </c>
      <c r="F382" s="21">
        <v>17.600000000000001</v>
      </c>
      <c r="G382" s="21">
        <v>8</v>
      </c>
      <c r="H382" s="21">
        <v>48</v>
      </c>
      <c r="I382" s="21">
        <v>9.6</v>
      </c>
      <c r="J382" s="21">
        <v>4.8</v>
      </c>
      <c r="K382" s="21">
        <v>26.400000000000002</v>
      </c>
      <c r="L382" s="21">
        <v>4.8000000000000007</v>
      </c>
      <c r="M382" s="21">
        <v>7.1999999999999993</v>
      </c>
      <c r="N382" s="21">
        <v>3.3600000000000003</v>
      </c>
      <c r="O382" s="21">
        <v>6.24</v>
      </c>
    </row>
    <row r="383" spans="1:15" x14ac:dyDescent="0.25">
      <c r="A383" s="35">
        <v>43511</v>
      </c>
      <c r="B383" s="16">
        <v>20</v>
      </c>
      <c r="C383" s="16" t="s">
        <v>80</v>
      </c>
      <c r="D383" s="21">
        <v>32</v>
      </c>
      <c r="E383" s="21">
        <v>6.4</v>
      </c>
      <c r="F383" s="21">
        <v>17.600000000000001</v>
      </c>
      <c r="G383" s="21">
        <v>8</v>
      </c>
      <c r="H383" s="21">
        <v>48</v>
      </c>
      <c r="I383" s="21">
        <v>9.6</v>
      </c>
      <c r="J383" s="21">
        <v>4.8</v>
      </c>
      <c r="K383" s="21">
        <v>26.400000000000002</v>
      </c>
      <c r="L383" s="21">
        <v>4.8000000000000007</v>
      </c>
      <c r="M383" s="21">
        <v>7.1999999999999993</v>
      </c>
      <c r="N383" s="21">
        <v>3.3600000000000003</v>
      </c>
      <c r="O383" s="21">
        <v>6.24</v>
      </c>
    </row>
    <row r="384" spans="1:15" x14ac:dyDescent="0.25">
      <c r="A384" s="35">
        <v>43511</v>
      </c>
      <c r="B384" s="16">
        <v>4</v>
      </c>
      <c r="C384" s="16" t="s">
        <v>67</v>
      </c>
      <c r="D384" s="21">
        <v>65</v>
      </c>
      <c r="E384" s="21">
        <v>13</v>
      </c>
      <c r="F384" s="21">
        <v>35.75</v>
      </c>
      <c r="G384" s="21">
        <v>16.25</v>
      </c>
      <c r="H384" s="21">
        <v>97.5</v>
      </c>
      <c r="I384" s="21">
        <v>19.5</v>
      </c>
      <c r="J384" s="21">
        <v>9.75</v>
      </c>
      <c r="K384" s="21">
        <v>53.625000000000007</v>
      </c>
      <c r="L384" s="21">
        <v>9.75</v>
      </c>
      <c r="M384" s="21">
        <v>14.625</v>
      </c>
      <c r="N384" s="21">
        <v>6.8250000000000011</v>
      </c>
      <c r="O384" s="21">
        <v>12.675000000000001</v>
      </c>
    </row>
    <row r="385" spans="1:15" x14ac:dyDescent="0.25">
      <c r="A385" s="35">
        <v>43511</v>
      </c>
      <c r="B385" s="16">
        <v>16</v>
      </c>
      <c r="C385" s="16" t="s">
        <v>76</v>
      </c>
      <c r="D385" s="21">
        <v>65</v>
      </c>
      <c r="E385" s="21">
        <v>13</v>
      </c>
      <c r="F385" s="21">
        <v>35.75</v>
      </c>
      <c r="G385" s="21">
        <v>16.25</v>
      </c>
      <c r="H385" s="21">
        <v>97.5</v>
      </c>
      <c r="I385" s="21">
        <v>19.5</v>
      </c>
      <c r="J385" s="21">
        <v>9.75</v>
      </c>
      <c r="K385" s="21">
        <v>53.625000000000007</v>
      </c>
      <c r="L385" s="21">
        <v>9.75</v>
      </c>
      <c r="M385" s="21">
        <v>14.625</v>
      </c>
      <c r="N385" s="21">
        <v>6.8250000000000011</v>
      </c>
      <c r="O385" s="21">
        <v>12.675000000000001</v>
      </c>
    </row>
    <row r="386" spans="1:15" x14ac:dyDescent="0.25">
      <c r="A386" s="35">
        <v>43544</v>
      </c>
      <c r="B386" s="16">
        <v>3</v>
      </c>
      <c r="C386" s="16" t="s">
        <v>66</v>
      </c>
      <c r="D386" s="21">
        <v>45</v>
      </c>
      <c r="E386" s="21">
        <v>9</v>
      </c>
      <c r="F386" s="21">
        <v>24.750000000000004</v>
      </c>
      <c r="G386" s="21">
        <v>11.25</v>
      </c>
      <c r="H386" s="21">
        <v>67.5</v>
      </c>
      <c r="I386" s="21">
        <v>13.5</v>
      </c>
      <c r="J386" s="21">
        <v>6.75</v>
      </c>
      <c r="K386" s="21">
        <v>37.125</v>
      </c>
      <c r="L386" s="21">
        <v>6.75</v>
      </c>
      <c r="M386" s="21">
        <v>10.125</v>
      </c>
      <c r="N386" s="21">
        <v>4.7250000000000005</v>
      </c>
      <c r="O386" s="21">
        <v>8.7750000000000004</v>
      </c>
    </row>
    <row r="387" spans="1:15" x14ac:dyDescent="0.25">
      <c r="A387" s="35">
        <v>43536</v>
      </c>
      <c r="B387" s="16">
        <v>2</v>
      </c>
      <c r="C387" s="16" t="s">
        <v>65</v>
      </c>
      <c r="D387" s="21">
        <v>25</v>
      </c>
      <c r="E387" s="21">
        <v>5</v>
      </c>
      <c r="F387" s="21">
        <v>13.750000000000002</v>
      </c>
      <c r="G387" s="21">
        <v>6.25</v>
      </c>
      <c r="H387" s="21">
        <v>37.5</v>
      </c>
      <c r="I387" s="21">
        <v>7.5</v>
      </c>
      <c r="J387" s="21">
        <v>3.75</v>
      </c>
      <c r="K387" s="21">
        <v>20.625</v>
      </c>
      <c r="L387" s="21">
        <v>3.75</v>
      </c>
      <c r="M387" s="21">
        <v>5.625</v>
      </c>
      <c r="N387" s="21">
        <v>2.6250000000000004</v>
      </c>
      <c r="O387" s="21">
        <v>4.875</v>
      </c>
    </row>
    <row r="388" spans="1:15" x14ac:dyDescent="0.25">
      <c r="A388" s="35">
        <v>43536</v>
      </c>
      <c r="B388" s="16">
        <v>1</v>
      </c>
      <c r="C388" s="16" t="s">
        <v>3</v>
      </c>
      <c r="D388" s="21">
        <v>36</v>
      </c>
      <c r="E388" s="21">
        <v>7.2</v>
      </c>
      <c r="F388" s="21">
        <v>19.8</v>
      </c>
      <c r="G388" s="21">
        <v>9</v>
      </c>
      <c r="H388" s="21">
        <v>54</v>
      </c>
      <c r="I388" s="21">
        <v>10.799999999999999</v>
      </c>
      <c r="J388" s="21">
        <v>5.3999999999999995</v>
      </c>
      <c r="K388" s="21">
        <v>29.700000000000003</v>
      </c>
      <c r="L388" s="21">
        <v>5.4</v>
      </c>
      <c r="M388" s="21">
        <v>8.1</v>
      </c>
      <c r="N388" s="21">
        <v>3.7800000000000002</v>
      </c>
      <c r="O388" s="21">
        <v>7.0200000000000005</v>
      </c>
    </row>
    <row r="389" spans="1:15" x14ac:dyDescent="0.25">
      <c r="A389" s="35">
        <v>43545</v>
      </c>
      <c r="B389" s="16">
        <v>18</v>
      </c>
      <c r="C389" s="16" t="s">
        <v>78</v>
      </c>
      <c r="D389" s="21">
        <v>63</v>
      </c>
      <c r="E389" s="21">
        <v>12.600000000000001</v>
      </c>
      <c r="F389" s="21">
        <v>34.650000000000006</v>
      </c>
      <c r="G389" s="21">
        <v>15.75</v>
      </c>
      <c r="H389" s="21">
        <v>94.5</v>
      </c>
      <c r="I389" s="21">
        <v>18.899999999999999</v>
      </c>
      <c r="J389" s="21">
        <v>9.4499999999999993</v>
      </c>
      <c r="K389" s="21">
        <v>51.975000000000001</v>
      </c>
      <c r="L389" s="21">
        <v>9.4500000000000011</v>
      </c>
      <c r="M389" s="21">
        <v>14.174999999999999</v>
      </c>
      <c r="N389" s="21">
        <v>6.6150000000000002</v>
      </c>
      <c r="O389" s="21">
        <v>12.285</v>
      </c>
    </row>
    <row r="390" spans="1:15" x14ac:dyDescent="0.25">
      <c r="A390" s="35">
        <v>43545</v>
      </c>
      <c r="B390" s="16">
        <v>9</v>
      </c>
      <c r="C390" s="16" t="s">
        <v>70</v>
      </c>
      <c r="D390" s="21">
        <v>52</v>
      </c>
      <c r="E390" s="21">
        <v>10.4</v>
      </c>
      <c r="F390" s="21">
        <v>28.6</v>
      </c>
      <c r="G390" s="21">
        <v>13</v>
      </c>
      <c r="H390" s="21">
        <v>78</v>
      </c>
      <c r="I390" s="21">
        <v>15.6</v>
      </c>
      <c r="J390" s="21">
        <v>7.8</v>
      </c>
      <c r="K390" s="21">
        <v>42.900000000000006</v>
      </c>
      <c r="L390" s="21">
        <v>7.8000000000000007</v>
      </c>
      <c r="M390" s="21">
        <v>11.7</v>
      </c>
      <c r="N390" s="21">
        <v>5.4600000000000009</v>
      </c>
      <c r="O390" s="21">
        <v>10.14</v>
      </c>
    </row>
    <row r="391" spans="1:15" x14ac:dyDescent="0.25">
      <c r="A391" s="35">
        <v>43545</v>
      </c>
      <c r="B391" s="16">
        <v>6</v>
      </c>
      <c r="C391" s="16" t="s">
        <v>68</v>
      </c>
      <c r="D391" s="21">
        <v>45</v>
      </c>
      <c r="E391" s="21">
        <v>9</v>
      </c>
      <c r="F391" s="21">
        <v>24.750000000000004</v>
      </c>
      <c r="G391" s="21">
        <v>11.25</v>
      </c>
      <c r="H391" s="21">
        <v>67.5</v>
      </c>
      <c r="I391" s="21">
        <v>13.5</v>
      </c>
      <c r="J391" s="21">
        <v>6.75</v>
      </c>
      <c r="K391" s="21">
        <v>37.125</v>
      </c>
      <c r="L391" s="21">
        <v>6.75</v>
      </c>
      <c r="M391" s="21">
        <v>10.125</v>
      </c>
      <c r="N391" s="21">
        <v>4.7250000000000005</v>
      </c>
      <c r="O391" s="21">
        <v>8.7750000000000004</v>
      </c>
    </row>
    <row r="392" spans="1:15" x14ac:dyDescent="0.25">
      <c r="A392" s="35">
        <v>43545</v>
      </c>
      <c r="B392" s="16">
        <v>15</v>
      </c>
      <c r="C392" s="16" t="s">
        <v>75</v>
      </c>
      <c r="D392" s="21">
        <v>65</v>
      </c>
      <c r="E392" s="21">
        <v>13</v>
      </c>
      <c r="F392" s="21">
        <v>35.75</v>
      </c>
      <c r="G392" s="21">
        <v>16.25</v>
      </c>
      <c r="H392" s="21">
        <v>97.5</v>
      </c>
      <c r="I392" s="21">
        <v>19.5</v>
      </c>
      <c r="J392" s="21">
        <v>9.75</v>
      </c>
      <c r="K392" s="21">
        <v>53.625000000000007</v>
      </c>
      <c r="L392" s="21">
        <v>9.75</v>
      </c>
      <c r="M392" s="21">
        <v>14.625</v>
      </c>
      <c r="N392" s="21">
        <v>6.8250000000000011</v>
      </c>
      <c r="O392" s="21">
        <v>12.675000000000001</v>
      </c>
    </row>
    <row r="393" spans="1:15" x14ac:dyDescent="0.25">
      <c r="A393" s="35">
        <v>43546</v>
      </c>
      <c r="B393" s="16">
        <v>8</v>
      </c>
      <c r="C393" s="16" t="s">
        <v>4</v>
      </c>
      <c r="D393" s="21">
        <v>56</v>
      </c>
      <c r="E393" s="21">
        <v>11.200000000000001</v>
      </c>
      <c r="F393" s="21">
        <v>30.800000000000004</v>
      </c>
      <c r="G393" s="21">
        <v>14</v>
      </c>
      <c r="H393" s="21">
        <v>84</v>
      </c>
      <c r="I393" s="21">
        <v>16.8</v>
      </c>
      <c r="J393" s="21">
        <v>8.4</v>
      </c>
      <c r="K393" s="21">
        <v>46.2</v>
      </c>
      <c r="L393" s="21">
        <v>8.4</v>
      </c>
      <c r="M393" s="21">
        <v>12.6</v>
      </c>
      <c r="N393" s="21">
        <v>5.8800000000000008</v>
      </c>
      <c r="O393" s="21">
        <v>10.92</v>
      </c>
    </row>
    <row r="394" spans="1:15" x14ac:dyDescent="0.25">
      <c r="A394" s="35">
        <v>43547</v>
      </c>
      <c r="B394" s="16">
        <v>7</v>
      </c>
      <c r="C394" s="16" t="s">
        <v>69</v>
      </c>
      <c r="D394" s="21">
        <v>65</v>
      </c>
      <c r="E394" s="21">
        <v>13</v>
      </c>
      <c r="F394" s="21">
        <v>35.75</v>
      </c>
      <c r="G394" s="21">
        <v>16.25</v>
      </c>
      <c r="H394" s="21">
        <v>97.5</v>
      </c>
      <c r="I394" s="21">
        <v>19.5</v>
      </c>
      <c r="J394" s="21">
        <v>9.75</v>
      </c>
      <c r="K394" s="21">
        <v>53.625000000000007</v>
      </c>
      <c r="L394" s="21">
        <v>9.75</v>
      </c>
      <c r="M394" s="21">
        <v>14.625</v>
      </c>
      <c r="N394" s="21">
        <v>6.8250000000000011</v>
      </c>
      <c r="O394" s="21">
        <v>12.675000000000001</v>
      </c>
    </row>
    <row r="395" spans="1:15" x14ac:dyDescent="0.25">
      <c r="A395" s="35">
        <v>43549</v>
      </c>
      <c r="B395" s="16">
        <v>10</v>
      </c>
      <c r="C395" s="16" t="s">
        <v>5</v>
      </c>
      <c r="D395" s="21">
        <v>15</v>
      </c>
      <c r="E395" s="21">
        <v>3</v>
      </c>
      <c r="F395" s="21">
        <v>8.25</v>
      </c>
      <c r="G395" s="21">
        <v>3.75</v>
      </c>
      <c r="H395" s="21">
        <v>22.5</v>
      </c>
      <c r="I395" s="21">
        <v>4.5</v>
      </c>
      <c r="J395" s="21">
        <v>2.25</v>
      </c>
      <c r="K395" s="21">
        <v>12.375000000000002</v>
      </c>
      <c r="L395" s="21">
        <v>2.25</v>
      </c>
      <c r="M395" s="21">
        <v>3.375</v>
      </c>
      <c r="N395" s="21">
        <v>1.5750000000000002</v>
      </c>
      <c r="O395" s="21">
        <v>2.9250000000000003</v>
      </c>
    </row>
    <row r="396" spans="1:15" x14ac:dyDescent="0.25">
      <c r="A396" s="35">
        <v>43551</v>
      </c>
      <c r="B396" s="16">
        <v>21</v>
      </c>
      <c r="C396" s="16" t="s">
        <v>81</v>
      </c>
      <c r="D396" s="21">
        <v>28</v>
      </c>
      <c r="E396" s="21">
        <v>5.6000000000000005</v>
      </c>
      <c r="F396" s="21">
        <v>15.400000000000002</v>
      </c>
      <c r="G396" s="21">
        <v>7</v>
      </c>
      <c r="H396" s="21">
        <v>42</v>
      </c>
      <c r="I396" s="21">
        <v>8.4</v>
      </c>
      <c r="J396" s="21">
        <v>4.2</v>
      </c>
      <c r="K396" s="21">
        <v>23.1</v>
      </c>
      <c r="L396" s="21">
        <v>4.2</v>
      </c>
      <c r="M396" s="21">
        <v>6.3</v>
      </c>
      <c r="N396" s="21">
        <v>2.9400000000000004</v>
      </c>
      <c r="O396" s="21">
        <v>5.46</v>
      </c>
    </row>
    <row r="397" spans="1:15" x14ac:dyDescent="0.25">
      <c r="A397" s="35">
        <v>43551</v>
      </c>
      <c r="B397" s="16">
        <v>14</v>
      </c>
      <c r="C397" s="16" t="s">
        <v>74</v>
      </c>
      <c r="D397" s="21">
        <v>14</v>
      </c>
      <c r="E397" s="21">
        <v>2.8000000000000003</v>
      </c>
      <c r="F397" s="21">
        <v>7.7000000000000011</v>
      </c>
      <c r="G397" s="21">
        <v>3.5</v>
      </c>
      <c r="H397" s="21">
        <v>21</v>
      </c>
      <c r="I397" s="21">
        <v>4.2</v>
      </c>
      <c r="J397" s="21">
        <v>2.1</v>
      </c>
      <c r="K397" s="21">
        <v>11.55</v>
      </c>
      <c r="L397" s="21">
        <v>2.1</v>
      </c>
      <c r="M397" s="21">
        <v>3.15</v>
      </c>
      <c r="N397" s="21">
        <v>1.4700000000000002</v>
      </c>
      <c r="O397" s="21">
        <v>2.73</v>
      </c>
    </row>
    <row r="398" spans="1:15" x14ac:dyDescent="0.25">
      <c r="A398" s="35">
        <v>43551</v>
      </c>
      <c r="B398" s="16">
        <v>5</v>
      </c>
      <c r="C398" s="16" t="s">
        <v>6</v>
      </c>
      <c r="D398" s="21">
        <v>12</v>
      </c>
      <c r="E398" s="21">
        <v>2.4000000000000004</v>
      </c>
      <c r="F398" s="21">
        <v>6.6000000000000005</v>
      </c>
      <c r="G398" s="21">
        <v>3</v>
      </c>
      <c r="H398" s="21">
        <v>18</v>
      </c>
      <c r="I398" s="21">
        <v>3.5999999999999996</v>
      </c>
      <c r="J398" s="21">
        <v>1.7999999999999998</v>
      </c>
      <c r="K398" s="21">
        <v>9.9</v>
      </c>
      <c r="L398" s="21">
        <v>1.8</v>
      </c>
      <c r="M398" s="21">
        <v>2.6999999999999997</v>
      </c>
      <c r="N398" s="21">
        <v>1.2600000000000002</v>
      </c>
      <c r="O398" s="21">
        <v>2.34</v>
      </c>
    </row>
    <row r="399" spans="1:15" x14ac:dyDescent="0.25">
      <c r="A399" s="35">
        <v>43537</v>
      </c>
      <c r="B399" s="16">
        <v>12</v>
      </c>
      <c r="C399" s="16" t="s">
        <v>72</v>
      </c>
      <c r="D399" s="21">
        <v>65</v>
      </c>
      <c r="E399" s="21">
        <v>13</v>
      </c>
      <c r="F399" s="21">
        <v>35.75</v>
      </c>
      <c r="G399" s="21">
        <v>16.25</v>
      </c>
      <c r="H399" s="21">
        <v>97.5</v>
      </c>
      <c r="I399" s="21">
        <v>19.5</v>
      </c>
      <c r="J399" s="21">
        <v>9.75</v>
      </c>
      <c r="K399" s="21">
        <v>53.625000000000007</v>
      </c>
      <c r="L399" s="21">
        <v>9.75</v>
      </c>
      <c r="M399" s="21">
        <v>14.625</v>
      </c>
      <c r="N399" s="21">
        <v>6.8250000000000011</v>
      </c>
      <c r="O399" s="21">
        <v>12.675000000000001</v>
      </c>
    </row>
    <row r="400" spans="1:15" x14ac:dyDescent="0.25">
      <c r="A400" s="35">
        <v>43537</v>
      </c>
      <c r="B400" s="16">
        <v>19</v>
      </c>
      <c r="C400" s="16" t="s">
        <v>79</v>
      </c>
      <c r="D400" s="21">
        <v>98</v>
      </c>
      <c r="E400" s="21">
        <v>19.600000000000001</v>
      </c>
      <c r="F400" s="21">
        <v>53.900000000000006</v>
      </c>
      <c r="G400" s="21">
        <v>24.5</v>
      </c>
      <c r="H400" s="21">
        <v>147</v>
      </c>
      <c r="I400" s="21">
        <v>29.4</v>
      </c>
      <c r="J400" s="21">
        <v>14.7</v>
      </c>
      <c r="K400" s="21">
        <v>80.850000000000009</v>
      </c>
      <c r="L400" s="21">
        <v>14.700000000000001</v>
      </c>
      <c r="M400" s="21">
        <v>22.05</v>
      </c>
      <c r="N400" s="21">
        <v>10.290000000000001</v>
      </c>
      <c r="O400" s="21">
        <v>19.11</v>
      </c>
    </row>
    <row r="401" spans="1:15" x14ac:dyDescent="0.25">
      <c r="A401" s="35">
        <v>43505</v>
      </c>
      <c r="B401" s="16">
        <v>17</v>
      </c>
      <c r="C401" s="16" t="s">
        <v>77</v>
      </c>
      <c r="D401" s="21">
        <v>56</v>
      </c>
      <c r="E401" s="21">
        <v>11.200000000000001</v>
      </c>
      <c r="F401" s="21">
        <v>30.800000000000004</v>
      </c>
      <c r="G401" s="21">
        <v>14</v>
      </c>
      <c r="H401" s="21">
        <v>84</v>
      </c>
      <c r="I401" s="21">
        <v>16.8</v>
      </c>
      <c r="J401" s="21">
        <v>8.4</v>
      </c>
      <c r="K401" s="21">
        <v>46.2</v>
      </c>
      <c r="L401" s="21">
        <v>8.4</v>
      </c>
      <c r="M401" s="21">
        <v>12.6</v>
      </c>
      <c r="N401" s="21">
        <v>5.8800000000000008</v>
      </c>
      <c r="O401" s="21">
        <v>10.92</v>
      </c>
    </row>
    <row r="402" spans="1:15" x14ac:dyDescent="0.25">
      <c r="A402" s="35">
        <v>43506</v>
      </c>
      <c r="B402" s="16">
        <v>13</v>
      </c>
      <c r="C402" s="16" t="s">
        <v>73</v>
      </c>
      <c r="D402" s="21">
        <v>55</v>
      </c>
      <c r="E402" s="21">
        <v>11</v>
      </c>
      <c r="F402" s="21">
        <v>30.250000000000004</v>
      </c>
      <c r="G402" s="21">
        <v>13.75</v>
      </c>
      <c r="H402" s="21">
        <v>82.5</v>
      </c>
      <c r="I402" s="21">
        <v>16.5</v>
      </c>
      <c r="J402" s="21">
        <v>8.25</v>
      </c>
      <c r="K402" s="21">
        <v>45.375000000000007</v>
      </c>
      <c r="L402" s="21">
        <v>8.25</v>
      </c>
      <c r="M402" s="21">
        <v>12.375</v>
      </c>
      <c r="N402" s="21">
        <v>5.7750000000000004</v>
      </c>
      <c r="O402" s="21">
        <v>10.725</v>
      </c>
    </row>
    <row r="403" spans="1:15" x14ac:dyDescent="0.25">
      <c r="A403" s="35">
        <v>43507</v>
      </c>
      <c r="B403" s="16">
        <v>20</v>
      </c>
      <c r="C403" s="16" t="s">
        <v>80</v>
      </c>
      <c r="D403" s="21">
        <v>44</v>
      </c>
      <c r="E403" s="21">
        <v>8.8000000000000007</v>
      </c>
      <c r="F403" s="21">
        <v>24.200000000000003</v>
      </c>
      <c r="G403" s="21">
        <v>11</v>
      </c>
      <c r="H403" s="21">
        <v>66</v>
      </c>
      <c r="I403" s="21">
        <v>13.2</v>
      </c>
      <c r="J403" s="21">
        <v>6.6</v>
      </c>
      <c r="K403" s="21">
        <v>36.300000000000004</v>
      </c>
      <c r="L403" s="21">
        <v>6.6000000000000005</v>
      </c>
      <c r="M403" s="21">
        <v>9.9</v>
      </c>
      <c r="N403" s="21">
        <v>4.62</v>
      </c>
      <c r="O403" s="21">
        <v>8.58</v>
      </c>
    </row>
    <row r="404" spans="1:15" x14ac:dyDescent="0.25">
      <c r="A404" s="35">
        <v>43507</v>
      </c>
      <c r="B404" s="16">
        <v>4</v>
      </c>
      <c r="C404" s="16" t="s">
        <v>67</v>
      </c>
      <c r="D404" s="21">
        <v>10</v>
      </c>
      <c r="E404" s="21">
        <v>2</v>
      </c>
      <c r="F404" s="21">
        <v>5.5</v>
      </c>
      <c r="G404" s="21">
        <v>2.5</v>
      </c>
      <c r="H404" s="21">
        <v>15</v>
      </c>
      <c r="I404" s="21">
        <v>3</v>
      </c>
      <c r="J404" s="21">
        <v>1.5</v>
      </c>
      <c r="K404" s="21">
        <v>8.25</v>
      </c>
      <c r="L404" s="21">
        <v>1.5</v>
      </c>
      <c r="M404" s="21">
        <v>2.25</v>
      </c>
      <c r="N404" s="21">
        <v>1.05</v>
      </c>
      <c r="O404" s="21">
        <v>1.9500000000000002</v>
      </c>
    </row>
    <row r="405" spans="1:15" x14ac:dyDescent="0.25">
      <c r="A405" s="35">
        <v>43507</v>
      </c>
      <c r="B405" s="16">
        <v>16</v>
      </c>
      <c r="C405" s="16" t="s">
        <v>76</v>
      </c>
      <c r="D405" s="21">
        <v>60</v>
      </c>
      <c r="E405" s="21">
        <v>12</v>
      </c>
      <c r="F405" s="21">
        <v>33</v>
      </c>
      <c r="G405" s="21">
        <v>15</v>
      </c>
      <c r="H405" s="21">
        <v>90</v>
      </c>
      <c r="I405" s="21">
        <v>18</v>
      </c>
      <c r="J405" s="21">
        <v>9</v>
      </c>
      <c r="K405" s="21">
        <v>49.500000000000007</v>
      </c>
      <c r="L405" s="21">
        <v>9</v>
      </c>
      <c r="M405" s="21">
        <v>13.5</v>
      </c>
      <c r="N405" s="21">
        <v>6.3000000000000007</v>
      </c>
      <c r="O405" s="21">
        <v>11.700000000000001</v>
      </c>
    </row>
    <row r="406" spans="1:15" x14ac:dyDescent="0.25">
      <c r="A406" s="35">
        <v>43507</v>
      </c>
      <c r="B406" s="16">
        <v>3</v>
      </c>
      <c r="C406" s="16" t="s">
        <v>66</v>
      </c>
      <c r="D406" s="21">
        <v>80</v>
      </c>
      <c r="E406" s="21">
        <v>16</v>
      </c>
      <c r="F406" s="21">
        <v>44</v>
      </c>
      <c r="G406" s="21">
        <v>20</v>
      </c>
      <c r="H406" s="21">
        <v>120</v>
      </c>
      <c r="I406" s="21">
        <v>24</v>
      </c>
      <c r="J406" s="21">
        <v>12</v>
      </c>
      <c r="K406" s="21">
        <v>66</v>
      </c>
      <c r="L406" s="21">
        <v>12</v>
      </c>
      <c r="M406" s="21">
        <v>18</v>
      </c>
      <c r="N406" s="21">
        <v>8.4</v>
      </c>
      <c r="O406" s="21">
        <v>15.600000000000001</v>
      </c>
    </row>
    <row r="407" spans="1:15" x14ac:dyDescent="0.25">
      <c r="A407" s="35">
        <v>43538</v>
      </c>
      <c r="B407" s="16">
        <v>2</v>
      </c>
      <c r="C407" s="16" t="s">
        <v>65</v>
      </c>
      <c r="D407" s="21">
        <v>99</v>
      </c>
      <c r="E407" s="21">
        <v>19.8</v>
      </c>
      <c r="F407" s="21">
        <v>54.45</v>
      </c>
      <c r="G407" s="21">
        <v>24.75</v>
      </c>
      <c r="H407" s="21">
        <v>148.5</v>
      </c>
      <c r="I407" s="21">
        <v>29.7</v>
      </c>
      <c r="J407" s="21">
        <v>14.85</v>
      </c>
      <c r="K407" s="21">
        <v>81.675000000000011</v>
      </c>
      <c r="L407" s="21">
        <v>14.850000000000001</v>
      </c>
      <c r="M407" s="21">
        <v>22.274999999999999</v>
      </c>
      <c r="N407" s="21">
        <v>10.395000000000001</v>
      </c>
      <c r="O407" s="21">
        <v>19.305</v>
      </c>
    </row>
    <row r="408" spans="1:15" x14ac:dyDescent="0.25">
      <c r="A408" s="35">
        <v>43507</v>
      </c>
      <c r="B408" s="16">
        <v>1</v>
      </c>
      <c r="C408" s="16" t="s">
        <v>3</v>
      </c>
      <c r="D408" s="21">
        <v>80</v>
      </c>
      <c r="E408" s="21">
        <v>16</v>
      </c>
      <c r="F408" s="21">
        <v>44</v>
      </c>
      <c r="G408" s="21">
        <v>20</v>
      </c>
      <c r="H408" s="21">
        <v>120</v>
      </c>
      <c r="I408" s="21">
        <v>24</v>
      </c>
      <c r="J408" s="21">
        <v>12</v>
      </c>
      <c r="K408" s="21">
        <v>66</v>
      </c>
      <c r="L408" s="21">
        <v>12</v>
      </c>
      <c r="M408" s="21">
        <v>18</v>
      </c>
      <c r="N408" s="21">
        <v>8.4</v>
      </c>
      <c r="O408" s="21">
        <v>15.600000000000001</v>
      </c>
    </row>
    <row r="409" spans="1:15" x14ac:dyDescent="0.25">
      <c r="A409" s="35">
        <v>43508</v>
      </c>
      <c r="B409" s="16">
        <v>18</v>
      </c>
      <c r="C409" s="16" t="s">
        <v>78</v>
      </c>
      <c r="D409" s="21">
        <v>45</v>
      </c>
      <c r="E409" s="21">
        <v>9</v>
      </c>
      <c r="F409" s="21">
        <v>24.750000000000004</v>
      </c>
      <c r="G409" s="21">
        <v>11.25</v>
      </c>
      <c r="H409" s="21">
        <v>67.5</v>
      </c>
      <c r="I409" s="21">
        <v>13.5</v>
      </c>
      <c r="J409" s="21">
        <v>6.75</v>
      </c>
      <c r="K409" s="21">
        <v>37.125</v>
      </c>
      <c r="L409" s="21">
        <v>6.75</v>
      </c>
      <c r="M409" s="21">
        <v>10.125</v>
      </c>
      <c r="N409" s="21">
        <v>4.7250000000000005</v>
      </c>
      <c r="O409" s="21">
        <v>8.7750000000000004</v>
      </c>
    </row>
    <row r="410" spans="1:15" x14ac:dyDescent="0.25">
      <c r="A410" s="35">
        <v>43508</v>
      </c>
      <c r="B410" s="16">
        <v>9</v>
      </c>
      <c r="C410" s="16" t="s">
        <v>70</v>
      </c>
      <c r="D410" s="21">
        <v>23</v>
      </c>
      <c r="E410" s="21">
        <v>4.6000000000000005</v>
      </c>
      <c r="F410" s="21">
        <v>12.65</v>
      </c>
      <c r="G410" s="21">
        <v>5.75</v>
      </c>
      <c r="H410" s="21">
        <v>34.5</v>
      </c>
      <c r="I410" s="21">
        <v>6.8999999999999995</v>
      </c>
      <c r="J410" s="21">
        <v>3.4499999999999997</v>
      </c>
      <c r="K410" s="21">
        <v>18.975000000000001</v>
      </c>
      <c r="L410" s="21">
        <v>3.45</v>
      </c>
      <c r="M410" s="21">
        <v>5.1749999999999998</v>
      </c>
      <c r="N410" s="21">
        <v>2.415</v>
      </c>
      <c r="O410" s="21">
        <v>4.4850000000000003</v>
      </c>
    </row>
    <row r="411" spans="1:15" x14ac:dyDescent="0.25">
      <c r="A411" s="35">
        <v>43508</v>
      </c>
      <c r="B411" s="16">
        <v>6</v>
      </c>
      <c r="C411" s="16" t="s">
        <v>68</v>
      </c>
      <c r="D411" s="21">
        <v>78</v>
      </c>
      <c r="E411" s="21">
        <v>15.600000000000001</v>
      </c>
      <c r="F411" s="21">
        <v>42.900000000000006</v>
      </c>
      <c r="G411" s="21">
        <v>19.5</v>
      </c>
      <c r="H411" s="21">
        <v>117</v>
      </c>
      <c r="I411" s="21">
        <v>23.4</v>
      </c>
      <c r="J411" s="21">
        <v>11.7</v>
      </c>
      <c r="K411" s="21">
        <v>64.350000000000009</v>
      </c>
      <c r="L411" s="21">
        <v>11.700000000000001</v>
      </c>
      <c r="M411" s="21">
        <v>17.55</v>
      </c>
      <c r="N411" s="21">
        <v>8.1900000000000013</v>
      </c>
      <c r="O411" s="21">
        <v>15.21</v>
      </c>
    </row>
    <row r="412" spans="1:15" x14ac:dyDescent="0.25">
      <c r="A412" s="35">
        <v>43508</v>
      </c>
      <c r="B412" s="16">
        <v>15</v>
      </c>
      <c r="C412" s="16" t="s">
        <v>75</v>
      </c>
      <c r="D412" s="21">
        <v>56</v>
      </c>
      <c r="E412" s="21">
        <v>11.200000000000001</v>
      </c>
      <c r="F412" s="21">
        <v>30.800000000000004</v>
      </c>
      <c r="G412" s="21">
        <v>14</v>
      </c>
      <c r="H412" s="21">
        <v>84</v>
      </c>
      <c r="I412" s="21">
        <v>16.8</v>
      </c>
      <c r="J412" s="21">
        <v>8.4</v>
      </c>
      <c r="K412" s="21">
        <v>46.2</v>
      </c>
      <c r="L412" s="21">
        <v>8.4</v>
      </c>
      <c r="M412" s="21">
        <v>12.6</v>
      </c>
      <c r="N412" s="21">
        <v>5.8800000000000008</v>
      </c>
      <c r="O412" s="21">
        <v>10.92</v>
      </c>
    </row>
    <row r="413" spans="1:15" x14ac:dyDescent="0.25">
      <c r="A413" s="35">
        <v>43539</v>
      </c>
      <c r="B413" s="16">
        <v>8</v>
      </c>
      <c r="C413" s="16" t="s">
        <v>4</v>
      </c>
      <c r="D413" s="21">
        <v>46</v>
      </c>
      <c r="E413" s="21">
        <v>9.2000000000000011</v>
      </c>
      <c r="F413" s="21">
        <v>25.3</v>
      </c>
      <c r="G413" s="21">
        <v>11.5</v>
      </c>
      <c r="H413" s="21">
        <v>69</v>
      </c>
      <c r="I413" s="21">
        <v>13.799999999999999</v>
      </c>
      <c r="J413" s="21">
        <v>6.8999999999999995</v>
      </c>
      <c r="K413" s="21">
        <v>37.950000000000003</v>
      </c>
      <c r="L413" s="21">
        <v>6.9</v>
      </c>
      <c r="M413" s="21">
        <v>10.35</v>
      </c>
      <c r="N413" s="21">
        <v>4.83</v>
      </c>
      <c r="O413" s="21">
        <v>8.9700000000000006</v>
      </c>
    </row>
    <row r="414" spans="1:15" x14ac:dyDescent="0.25">
      <c r="A414" s="35">
        <v>43542</v>
      </c>
      <c r="B414" s="16">
        <v>7</v>
      </c>
      <c r="C414" s="16" t="s">
        <v>69</v>
      </c>
      <c r="D414" s="21">
        <v>14</v>
      </c>
      <c r="E414" s="21">
        <v>2.8000000000000003</v>
      </c>
      <c r="F414" s="21">
        <v>7.7000000000000011</v>
      </c>
      <c r="G414" s="21">
        <v>3.5</v>
      </c>
      <c r="H414" s="21">
        <v>21</v>
      </c>
      <c r="I414" s="21">
        <v>4.2</v>
      </c>
      <c r="J414" s="21">
        <v>2.1</v>
      </c>
      <c r="K414" s="21">
        <v>11.55</v>
      </c>
      <c r="L414" s="21">
        <v>2.1</v>
      </c>
      <c r="M414" s="21">
        <v>3.15</v>
      </c>
      <c r="N414" s="21">
        <v>1.4700000000000002</v>
      </c>
      <c r="O414" s="21">
        <v>2.73</v>
      </c>
    </row>
    <row r="415" spans="1:15" x14ac:dyDescent="0.25">
      <c r="A415" s="35">
        <v>43509</v>
      </c>
      <c r="B415" s="16">
        <v>10</v>
      </c>
      <c r="C415" s="16" t="s">
        <v>5</v>
      </c>
      <c r="D415" s="21">
        <v>52</v>
      </c>
      <c r="E415" s="21">
        <v>10.4</v>
      </c>
      <c r="F415" s="21">
        <v>28.6</v>
      </c>
      <c r="G415" s="21">
        <v>13</v>
      </c>
      <c r="H415" s="21">
        <v>78</v>
      </c>
      <c r="I415" s="21">
        <v>15.6</v>
      </c>
      <c r="J415" s="21">
        <v>7.8</v>
      </c>
      <c r="K415" s="21">
        <v>42.900000000000006</v>
      </c>
      <c r="L415" s="21">
        <v>7.8000000000000007</v>
      </c>
      <c r="M415" s="21">
        <v>11.7</v>
      </c>
      <c r="N415" s="21">
        <v>5.4600000000000009</v>
      </c>
      <c r="O415" s="21">
        <v>10.14</v>
      </c>
    </row>
    <row r="416" spans="1:15" x14ac:dyDescent="0.25">
      <c r="A416" s="35">
        <v>43509</v>
      </c>
      <c r="B416" s="16">
        <v>21</v>
      </c>
      <c r="C416" s="16" t="s">
        <v>81</v>
      </c>
      <c r="D416" s="21">
        <v>52</v>
      </c>
      <c r="E416" s="21">
        <v>10.4</v>
      </c>
      <c r="F416" s="21">
        <v>28.6</v>
      </c>
      <c r="G416" s="21">
        <v>13</v>
      </c>
      <c r="H416" s="21">
        <v>78</v>
      </c>
      <c r="I416" s="21">
        <v>15.6</v>
      </c>
      <c r="J416" s="21">
        <v>7.8</v>
      </c>
      <c r="K416" s="21">
        <v>42.900000000000006</v>
      </c>
      <c r="L416" s="21">
        <v>7.8000000000000007</v>
      </c>
      <c r="M416" s="21">
        <v>11.7</v>
      </c>
      <c r="N416" s="21">
        <v>5.4600000000000009</v>
      </c>
      <c r="O416" s="21">
        <v>10.14</v>
      </c>
    </row>
    <row r="417" spans="1:15" x14ac:dyDescent="0.25">
      <c r="A417" s="35">
        <v>43509</v>
      </c>
      <c r="B417" s="16">
        <v>14</v>
      </c>
      <c r="C417" s="16" t="s">
        <v>74</v>
      </c>
      <c r="D417" s="21">
        <v>63</v>
      </c>
      <c r="E417" s="21">
        <v>12.600000000000001</v>
      </c>
      <c r="F417" s="21">
        <v>34.650000000000006</v>
      </c>
      <c r="G417" s="21">
        <v>15.75</v>
      </c>
      <c r="H417" s="21">
        <v>94.5</v>
      </c>
      <c r="I417" s="21">
        <v>18.899999999999999</v>
      </c>
      <c r="J417" s="21">
        <v>9.4499999999999993</v>
      </c>
      <c r="K417" s="21">
        <v>51.975000000000001</v>
      </c>
      <c r="L417" s="21">
        <v>9.4500000000000011</v>
      </c>
      <c r="M417" s="21">
        <v>14.174999999999999</v>
      </c>
      <c r="N417" s="21">
        <v>6.6150000000000002</v>
      </c>
      <c r="O417" s="21">
        <v>12.285</v>
      </c>
    </row>
    <row r="418" spans="1:15" x14ac:dyDescent="0.25">
      <c r="A418" s="35">
        <v>43509</v>
      </c>
      <c r="B418" s="16">
        <v>5</v>
      </c>
      <c r="C418" s="16" t="s">
        <v>6</v>
      </c>
      <c r="D418" s="21">
        <v>65</v>
      </c>
      <c r="E418" s="21">
        <v>13</v>
      </c>
      <c r="F418" s="21">
        <v>35.75</v>
      </c>
      <c r="G418" s="21">
        <v>16.25</v>
      </c>
      <c r="H418" s="21">
        <v>97.5</v>
      </c>
      <c r="I418" s="21">
        <v>19.5</v>
      </c>
      <c r="J418" s="21">
        <v>9.75</v>
      </c>
      <c r="K418" s="21">
        <v>53.625000000000007</v>
      </c>
      <c r="L418" s="21">
        <v>9.75</v>
      </c>
      <c r="M418" s="21">
        <v>14.625</v>
      </c>
      <c r="N418" s="21">
        <v>6.8250000000000011</v>
      </c>
      <c r="O418" s="21">
        <v>12.675000000000001</v>
      </c>
    </row>
    <row r="419" spans="1:15" x14ac:dyDescent="0.25">
      <c r="A419" s="35">
        <v>43509</v>
      </c>
      <c r="B419" s="16">
        <v>12</v>
      </c>
      <c r="C419" s="16" t="s">
        <v>72</v>
      </c>
      <c r="D419" s="21">
        <v>68</v>
      </c>
      <c r="E419" s="21">
        <v>13.600000000000001</v>
      </c>
      <c r="F419" s="21">
        <v>37.400000000000006</v>
      </c>
      <c r="G419" s="21">
        <v>17</v>
      </c>
      <c r="H419" s="21">
        <v>102</v>
      </c>
      <c r="I419" s="21">
        <v>20.399999999999999</v>
      </c>
      <c r="J419" s="21">
        <v>10.199999999999999</v>
      </c>
      <c r="K419" s="21">
        <v>56.1</v>
      </c>
      <c r="L419" s="21">
        <v>10.200000000000001</v>
      </c>
      <c r="M419" s="21">
        <v>15.299999999999999</v>
      </c>
      <c r="N419" s="21">
        <v>7.1400000000000006</v>
      </c>
      <c r="O419" s="21">
        <v>13.26</v>
      </c>
    </row>
    <row r="420" spans="1:15" x14ac:dyDescent="0.25">
      <c r="A420" s="35">
        <v>43510</v>
      </c>
      <c r="B420" s="16">
        <v>19</v>
      </c>
      <c r="C420" s="16" t="s">
        <v>79</v>
      </c>
      <c r="D420" s="21">
        <v>74</v>
      </c>
      <c r="E420" s="21">
        <v>14.8</v>
      </c>
      <c r="F420" s="21">
        <v>40.700000000000003</v>
      </c>
      <c r="G420" s="21">
        <v>18.5</v>
      </c>
      <c r="H420" s="21">
        <v>111</v>
      </c>
      <c r="I420" s="21">
        <v>22.2</v>
      </c>
      <c r="J420" s="21">
        <v>11.1</v>
      </c>
      <c r="K420" s="21">
        <v>61.050000000000004</v>
      </c>
      <c r="L420" s="21">
        <v>11.100000000000001</v>
      </c>
      <c r="M420" s="21">
        <v>16.649999999999999</v>
      </c>
      <c r="N420" s="21">
        <v>7.7700000000000005</v>
      </c>
      <c r="O420" s="21">
        <v>14.43</v>
      </c>
    </row>
    <row r="421" spans="1:15" x14ac:dyDescent="0.25">
      <c r="A421" s="35">
        <v>43510</v>
      </c>
      <c r="B421" s="16">
        <v>17</v>
      </c>
      <c r="C421" s="16" t="s">
        <v>77</v>
      </c>
      <c r="D421" s="21">
        <v>30</v>
      </c>
      <c r="E421" s="21">
        <v>6</v>
      </c>
      <c r="F421" s="21">
        <v>16.5</v>
      </c>
      <c r="G421" s="21">
        <v>7.5</v>
      </c>
      <c r="H421" s="21">
        <v>45</v>
      </c>
      <c r="I421" s="21">
        <v>9</v>
      </c>
      <c r="J421" s="21">
        <v>4.5</v>
      </c>
      <c r="K421" s="21">
        <v>24.750000000000004</v>
      </c>
      <c r="L421" s="21">
        <v>4.5</v>
      </c>
      <c r="M421" s="21">
        <v>6.75</v>
      </c>
      <c r="N421" s="21">
        <v>3.1500000000000004</v>
      </c>
      <c r="O421" s="21">
        <v>5.8500000000000005</v>
      </c>
    </row>
    <row r="422" spans="1:15" x14ac:dyDescent="0.25">
      <c r="A422" s="35">
        <v>43511</v>
      </c>
      <c r="B422" s="16">
        <v>13</v>
      </c>
      <c r="C422" s="16" t="s">
        <v>73</v>
      </c>
      <c r="D422" s="21">
        <v>40</v>
      </c>
      <c r="E422" s="21">
        <v>8</v>
      </c>
      <c r="F422" s="21">
        <v>22</v>
      </c>
      <c r="G422" s="21">
        <v>10</v>
      </c>
      <c r="H422" s="21">
        <v>60</v>
      </c>
      <c r="I422" s="21">
        <v>12</v>
      </c>
      <c r="J422" s="21">
        <v>6</v>
      </c>
      <c r="K422" s="21">
        <v>33</v>
      </c>
      <c r="L422" s="21">
        <v>6</v>
      </c>
      <c r="M422" s="21">
        <v>9</v>
      </c>
      <c r="N422" s="21">
        <v>4.2</v>
      </c>
      <c r="O422" s="21">
        <v>7.8000000000000007</v>
      </c>
    </row>
    <row r="423" spans="1:15" x14ac:dyDescent="0.25">
      <c r="A423" s="35">
        <v>43511</v>
      </c>
      <c r="B423" s="16">
        <v>20</v>
      </c>
      <c r="C423" s="16" t="s">
        <v>80</v>
      </c>
      <c r="D423" s="21">
        <v>30</v>
      </c>
      <c r="E423" s="21">
        <v>6</v>
      </c>
      <c r="F423" s="21">
        <v>16.5</v>
      </c>
      <c r="G423" s="21">
        <v>7.5</v>
      </c>
      <c r="H423" s="21">
        <v>45</v>
      </c>
      <c r="I423" s="21">
        <v>9</v>
      </c>
      <c r="J423" s="21">
        <v>4.5</v>
      </c>
      <c r="K423" s="21">
        <v>24.750000000000004</v>
      </c>
      <c r="L423" s="21">
        <v>4.5</v>
      </c>
      <c r="M423" s="21">
        <v>6.75</v>
      </c>
      <c r="N423" s="21">
        <v>3.1500000000000004</v>
      </c>
      <c r="O423" s="21">
        <v>5.8500000000000005</v>
      </c>
    </row>
    <row r="424" spans="1:15" x14ac:dyDescent="0.25">
      <c r="A424" s="35">
        <v>43511</v>
      </c>
      <c r="B424" s="16">
        <v>11</v>
      </c>
      <c r="C424" s="16" t="s">
        <v>71</v>
      </c>
      <c r="D424" s="21">
        <v>20</v>
      </c>
      <c r="E424" s="21">
        <v>4</v>
      </c>
      <c r="F424" s="21">
        <v>11</v>
      </c>
      <c r="G424" s="21">
        <v>5</v>
      </c>
      <c r="H424" s="21">
        <v>30</v>
      </c>
      <c r="I424" s="21">
        <v>6</v>
      </c>
      <c r="J424" s="21">
        <v>3</v>
      </c>
      <c r="K424" s="21">
        <v>16.5</v>
      </c>
      <c r="L424" s="21">
        <v>3</v>
      </c>
      <c r="M424" s="21">
        <v>4.5</v>
      </c>
      <c r="N424" s="21">
        <v>2.1</v>
      </c>
      <c r="O424" s="21">
        <v>3.9000000000000004</v>
      </c>
    </row>
    <row r="425" spans="1:15" x14ac:dyDescent="0.25">
      <c r="A425" s="35">
        <v>43512</v>
      </c>
      <c r="B425" s="16">
        <v>4</v>
      </c>
      <c r="C425" s="16" t="s">
        <v>67</v>
      </c>
      <c r="D425" s="21">
        <v>15</v>
      </c>
      <c r="E425" s="21">
        <v>3</v>
      </c>
      <c r="F425" s="21">
        <v>8.25</v>
      </c>
      <c r="G425" s="21">
        <v>3.75</v>
      </c>
      <c r="H425" s="21">
        <v>22.5</v>
      </c>
      <c r="I425" s="21">
        <v>4.5</v>
      </c>
      <c r="J425" s="21">
        <v>2.25</v>
      </c>
      <c r="K425" s="21">
        <v>12.375000000000002</v>
      </c>
      <c r="L425" s="21">
        <v>2.25</v>
      </c>
      <c r="M425" s="21">
        <v>3.375</v>
      </c>
      <c r="N425" s="21">
        <v>1.5750000000000002</v>
      </c>
      <c r="O425" s="21">
        <v>2.9250000000000003</v>
      </c>
    </row>
    <row r="426" spans="1:15" x14ac:dyDescent="0.25">
      <c r="A426" s="35">
        <v>43514</v>
      </c>
      <c r="B426" s="16">
        <v>4</v>
      </c>
      <c r="C426" s="16" t="s">
        <v>67</v>
      </c>
      <c r="D426" s="21">
        <v>50</v>
      </c>
      <c r="E426" s="21">
        <v>10</v>
      </c>
      <c r="F426" s="21">
        <v>27.500000000000004</v>
      </c>
      <c r="G426" s="21">
        <v>12.5</v>
      </c>
      <c r="H426" s="21">
        <v>75</v>
      </c>
      <c r="I426" s="21">
        <v>15</v>
      </c>
      <c r="J426" s="21">
        <v>7.5</v>
      </c>
      <c r="K426" s="21">
        <v>41.25</v>
      </c>
      <c r="L426" s="21">
        <v>7.5</v>
      </c>
      <c r="M426" s="21">
        <v>11.25</v>
      </c>
      <c r="N426" s="21">
        <v>5.2500000000000009</v>
      </c>
      <c r="O426" s="21">
        <v>9.75</v>
      </c>
    </row>
    <row r="427" spans="1:15" x14ac:dyDescent="0.25">
      <c r="A427" s="35">
        <v>43512</v>
      </c>
      <c r="B427" s="16">
        <v>16</v>
      </c>
      <c r="C427" s="16" t="s">
        <v>76</v>
      </c>
      <c r="D427" s="21">
        <v>60</v>
      </c>
      <c r="E427" s="21">
        <v>12</v>
      </c>
      <c r="F427" s="21">
        <v>33</v>
      </c>
      <c r="G427" s="21">
        <v>15</v>
      </c>
      <c r="H427" s="21">
        <v>90</v>
      </c>
      <c r="I427" s="21">
        <v>18</v>
      </c>
      <c r="J427" s="21">
        <v>9</v>
      </c>
      <c r="K427" s="21">
        <v>49.500000000000007</v>
      </c>
      <c r="L427" s="21">
        <v>9</v>
      </c>
      <c r="M427" s="21">
        <v>13.5</v>
      </c>
      <c r="N427" s="21">
        <v>6.3000000000000007</v>
      </c>
      <c r="O427" s="21">
        <v>11.700000000000001</v>
      </c>
    </row>
    <row r="428" spans="1:15" x14ac:dyDescent="0.25">
      <c r="A428" s="35">
        <v>43514</v>
      </c>
      <c r="B428" s="16">
        <v>3</v>
      </c>
      <c r="C428" s="16" t="s">
        <v>66</v>
      </c>
      <c r="D428" s="21">
        <v>45</v>
      </c>
      <c r="E428" s="21">
        <v>9</v>
      </c>
      <c r="F428" s="21">
        <v>24.750000000000004</v>
      </c>
      <c r="G428" s="21">
        <v>11.25</v>
      </c>
      <c r="H428" s="21">
        <v>67.5</v>
      </c>
      <c r="I428" s="21">
        <v>13.5</v>
      </c>
      <c r="J428" s="21">
        <v>6.75</v>
      </c>
      <c r="K428" s="21">
        <v>37.125</v>
      </c>
      <c r="L428" s="21">
        <v>6.75</v>
      </c>
      <c r="M428" s="21">
        <v>10.125</v>
      </c>
      <c r="N428" s="21">
        <v>4.7250000000000005</v>
      </c>
      <c r="O428" s="21">
        <v>8.7750000000000004</v>
      </c>
    </row>
    <row r="429" spans="1:15" x14ac:dyDescent="0.25">
      <c r="A429" s="35">
        <v>43545</v>
      </c>
      <c r="B429" s="16">
        <v>2</v>
      </c>
      <c r="C429" s="16" t="s">
        <v>65</v>
      </c>
      <c r="D429" s="21">
        <v>65</v>
      </c>
      <c r="E429" s="21">
        <v>13</v>
      </c>
      <c r="F429" s="21">
        <v>35.75</v>
      </c>
      <c r="G429" s="21">
        <v>16.25</v>
      </c>
      <c r="H429" s="21">
        <v>97.5</v>
      </c>
      <c r="I429" s="21">
        <v>19.5</v>
      </c>
      <c r="J429" s="21">
        <v>9.75</v>
      </c>
      <c r="K429" s="21">
        <v>53.625000000000007</v>
      </c>
      <c r="L429" s="21">
        <v>9.75</v>
      </c>
      <c r="M429" s="21">
        <v>14.625</v>
      </c>
      <c r="N429" s="21">
        <v>6.8250000000000011</v>
      </c>
      <c r="O429" s="21">
        <v>12.675000000000001</v>
      </c>
    </row>
    <row r="430" spans="1:15" x14ac:dyDescent="0.25">
      <c r="A430" s="35">
        <v>43515</v>
      </c>
      <c r="B430" s="16">
        <v>1</v>
      </c>
      <c r="C430" s="16" t="s">
        <v>3</v>
      </c>
      <c r="D430" s="21">
        <v>57</v>
      </c>
      <c r="E430" s="21">
        <v>11.4</v>
      </c>
      <c r="F430" s="21">
        <v>31.35</v>
      </c>
      <c r="G430" s="21">
        <v>14.25</v>
      </c>
      <c r="H430" s="21">
        <v>85.5</v>
      </c>
      <c r="I430" s="21">
        <v>17.099999999999998</v>
      </c>
      <c r="J430" s="21">
        <v>8.5499999999999989</v>
      </c>
      <c r="K430" s="21">
        <v>47.025000000000006</v>
      </c>
      <c r="L430" s="21">
        <v>8.5500000000000007</v>
      </c>
      <c r="M430" s="21">
        <v>12.824999999999999</v>
      </c>
      <c r="N430" s="21">
        <v>5.9850000000000003</v>
      </c>
      <c r="O430" s="21">
        <v>11.115</v>
      </c>
    </row>
    <row r="431" spans="1:15" x14ac:dyDescent="0.25">
      <c r="A431" s="35">
        <v>43546</v>
      </c>
      <c r="B431" s="16">
        <v>18</v>
      </c>
      <c r="C431" s="16" t="s">
        <v>78</v>
      </c>
      <c r="D431" s="21">
        <v>54</v>
      </c>
      <c r="E431" s="21">
        <v>10.8</v>
      </c>
      <c r="F431" s="21">
        <v>29.700000000000003</v>
      </c>
      <c r="G431" s="21">
        <v>13.5</v>
      </c>
      <c r="H431" s="21">
        <v>81</v>
      </c>
      <c r="I431" s="21">
        <v>16.2</v>
      </c>
      <c r="J431" s="21">
        <v>8.1</v>
      </c>
      <c r="K431" s="21">
        <v>44.550000000000004</v>
      </c>
      <c r="L431" s="21">
        <v>8.1</v>
      </c>
      <c r="M431" s="21">
        <v>12.15</v>
      </c>
      <c r="N431" s="21">
        <v>5.6700000000000008</v>
      </c>
      <c r="O431" s="21">
        <v>10.530000000000001</v>
      </c>
    </row>
    <row r="432" spans="1:15" x14ac:dyDescent="0.25">
      <c r="A432" s="35">
        <v>43546</v>
      </c>
      <c r="B432" s="16">
        <v>9</v>
      </c>
      <c r="C432" s="16" t="s">
        <v>70</v>
      </c>
      <c r="D432" s="21">
        <v>32</v>
      </c>
      <c r="E432" s="21">
        <v>6.4</v>
      </c>
      <c r="F432" s="21">
        <v>17.600000000000001</v>
      </c>
      <c r="G432" s="21">
        <v>8</v>
      </c>
      <c r="H432" s="21">
        <v>48</v>
      </c>
      <c r="I432" s="21">
        <v>9.6</v>
      </c>
      <c r="J432" s="21">
        <v>4.8</v>
      </c>
      <c r="K432" s="21">
        <v>26.400000000000002</v>
      </c>
      <c r="L432" s="21">
        <v>4.8000000000000007</v>
      </c>
      <c r="M432" s="21">
        <v>7.1999999999999993</v>
      </c>
      <c r="N432" s="21">
        <v>3.3600000000000003</v>
      </c>
      <c r="O432" s="21">
        <v>6.24</v>
      </c>
    </row>
    <row r="433" spans="1:15" x14ac:dyDescent="0.25">
      <c r="A433" s="35">
        <v>43516</v>
      </c>
      <c r="B433" s="16">
        <v>6</v>
      </c>
      <c r="C433" s="16" t="s">
        <v>68</v>
      </c>
      <c r="D433" s="21">
        <v>12</v>
      </c>
      <c r="E433" s="21">
        <v>2.4000000000000004</v>
      </c>
      <c r="F433" s="21">
        <v>6.6000000000000005</v>
      </c>
      <c r="G433" s="21">
        <v>3</v>
      </c>
      <c r="H433" s="21">
        <v>18</v>
      </c>
      <c r="I433" s="21">
        <v>3.5999999999999996</v>
      </c>
      <c r="J433" s="21">
        <v>1.7999999999999998</v>
      </c>
      <c r="K433" s="21">
        <v>9.9</v>
      </c>
      <c r="L433" s="21">
        <v>1.8</v>
      </c>
      <c r="M433" s="21">
        <v>2.6999999999999997</v>
      </c>
      <c r="N433" s="21">
        <v>1.2600000000000002</v>
      </c>
      <c r="O433" s="21">
        <v>2.34</v>
      </c>
    </row>
    <row r="434" spans="1:15" x14ac:dyDescent="0.25">
      <c r="A434" s="35">
        <v>43547</v>
      </c>
      <c r="B434" s="16">
        <v>15</v>
      </c>
      <c r="C434" s="16" t="s">
        <v>75</v>
      </c>
      <c r="D434" s="21">
        <v>78</v>
      </c>
      <c r="E434" s="21">
        <v>15.600000000000001</v>
      </c>
      <c r="F434" s="21">
        <v>42.900000000000006</v>
      </c>
      <c r="G434" s="21">
        <v>19.5</v>
      </c>
      <c r="H434" s="21">
        <v>117</v>
      </c>
      <c r="I434" s="21">
        <v>23.4</v>
      </c>
      <c r="J434" s="21">
        <v>11.7</v>
      </c>
      <c r="K434" s="21">
        <v>64.350000000000009</v>
      </c>
      <c r="L434" s="21">
        <v>11.700000000000001</v>
      </c>
      <c r="M434" s="21">
        <v>17.55</v>
      </c>
      <c r="N434" s="21">
        <v>8.1900000000000013</v>
      </c>
      <c r="O434" s="21">
        <v>15.21</v>
      </c>
    </row>
    <row r="435" spans="1:15" x14ac:dyDescent="0.25">
      <c r="A435" s="35">
        <v>43549</v>
      </c>
      <c r="B435" s="16">
        <v>8</v>
      </c>
      <c r="C435" s="16" t="s">
        <v>4</v>
      </c>
      <c r="D435" s="21">
        <v>80</v>
      </c>
      <c r="E435" s="21">
        <v>16</v>
      </c>
      <c r="F435" s="21">
        <v>44</v>
      </c>
      <c r="G435" s="21">
        <v>20</v>
      </c>
      <c r="H435" s="21">
        <v>120</v>
      </c>
      <c r="I435" s="21">
        <v>24</v>
      </c>
      <c r="J435" s="21">
        <v>12</v>
      </c>
      <c r="K435" s="21">
        <v>66</v>
      </c>
      <c r="L435" s="21">
        <v>12</v>
      </c>
      <c r="M435" s="21">
        <v>18</v>
      </c>
      <c r="N435" s="21">
        <v>8.4</v>
      </c>
      <c r="O435" s="21">
        <v>15.600000000000001</v>
      </c>
    </row>
    <row r="436" spans="1:15" x14ac:dyDescent="0.25">
      <c r="A436" s="35">
        <v>43549</v>
      </c>
      <c r="B436" s="16">
        <v>7</v>
      </c>
      <c r="C436" s="16" t="s">
        <v>69</v>
      </c>
      <c r="D436" s="21">
        <v>55</v>
      </c>
      <c r="E436" s="21">
        <v>11</v>
      </c>
      <c r="F436" s="21">
        <v>30.250000000000004</v>
      </c>
      <c r="G436" s="21">
        <v>13.75</v>
      </c>
      <c r="H436" s="21">
        <v>82.5</v>
      </c>
      <c r="I436" s="21">
        <v>16.5</v>
      </c>
      <c r="J436" s="21">
        <v>8.25</v>
      </c>
      <c r="K436" s="21">
        <v>45.375000000000007</v>
      </c>
      <c r="L436" s="21">
        <v>8.25</v>
      </c>
      <c r="M436" s="21">
        <v>12.375</v>
      </c>
      <c r="N436" s="21">
        <v>5.7750000000000004</v>
      </c>
      <c r="O436" s="21">
        <v>10.725</v>
      </c>
    </row>
    <row r="437" spans="1:15" x14ac:dyDescent="0.25">
      <c r="A437" s="35">
        <v>43549</v>
      </c>
      <c r="B437" s="16">
        <v>10</v>
      </c>
      <c r="C437" s="16" t="s">
        <v>5</v>
      </c>
      <c r="D437" s="21">
        <v>65</v>
      </c>
      <c r="E437" s="21">
        <v>13</v>
      </c>
      <c r="F437" s="21">
        <v>35.75</v>
      </c>
      <c r="G437" s="21">
        <v>16.25</v>
      </c>
      <c r="H437" s="21">
        <v>97.5</v>
      </c>
      <c r="I437" s="21">
        <v>19.5</v>
      </c>
      <c r="J437" s="21">
        <v>9.75</v>
      </c>
      <c r="K437" s="21">
        <v>53.625000000000007</v>
      </c>
      <c r="L437" s="21">
        <v>9.75</v>
      </c>
      <c r="M437" s="21">
        <v>14.625</v>
      </c>
      <c r="N437" s="21">
        <v>6.8250000000000011</v>
      </c>
      <c r="O437" s="21">
        <v>12.675000000000001</v>
      </c>
    </row>
    <row r="438" spans="1:15" x14ac:dyDescent="0.25">
      <c r="A438" s="35">
        <v>43549</v>
      </c>
      <c r="B438" s="16">
        <v>21</v>
      </c>
      <c r="C438" s="16" t="s">
        <v>81</v>
      </c>
      <c r="D438" s="21">
        <v>45</v>
      </c>
      <c r="E438" s="21">
        <v>9</v>
      </c>
      <c r="F438" s="21">
        <v>24.750000000000004</v>
      </c>
      <c r="G438" s="21">
        <v>11.25</v>
      </c>
      <c r="H438" s="21">
        <v>67.5</v>
      </c>
      <c r="I438" s="21">
        <v>13.5</v>
      </c>
      <c r="J438" s="21">
        <v>6.75</v>
      </c>
      <c r="K438" s="21">
        <v>37.125</v>
      </c>
      <c r="L438" s="21">
        <v>6.75</v>
      </c>
      <c r="M438" s="21">
        <v>10.125</v>
      </c>
      <c r="N438" s="21">
        <v>4.7250000000000005</v>
      </c>
      <c r="O438" s="21">
        <v>8.7750000000000004</v>
      </c>
    </row>
    <row r="439" spans="1:15" x14ac:dyDescent="0.25">
      <c r="A439" s="35">
        <v>43549</v>
      </c>
      <c r="B439" s="16">
        <v>14</v>
      </c>
      <c r="C439" s="16" t="s">
        <v>74</v>
      </c>
      <c r="D439" s="21">
        <v>32</v>
      </c>
      <c r="E439" s="21">
        <v>6.4</v>
      </c>
      <c r="F439" s="21">
        <v>17.600000000000001</v>
      </c>
      <c r="G439" s="21">
        <v>8</v>
      </c>
      <c r="H439" s="21">
        <v>48</v>
      </c>
      <c r="I439" s="21">
        <v>9.6</v>
      </c>
      <c r="J439" s="21">
        <v>4.8</v>
      </c>
      <c r="K439" s="21">
        <v>26.400000000000002</v>
      </c>
      <c r="L439" s="21">
        <v>4.8000000000000007</v>
      </c>
      <c r="M439" s="21">
        <v>7.1999999999999993</v>
      </c>
      <c r="N439" s="21">
        <v>3.3600000000000003</v>
      </c>
      <c r="O439" s="21">
        <v>6.24</v>
      </c>
    </row>
    <row r="440" spans="1:15" x14ac:dyDescent="0.25">
      <c r="A440" s="35">
        <v>43514</v>
      </c>
      <c r="B440" s="16">
        <v>5</v>
      </c>
      <c r="C440" s="16" t="s">
        <v>6</v>
      </c>
      <c r="D440" s="21">
        <v>12</v>
      </c>
      <c r="E440" s="21">
        <v>2.4000000000000004</v>
      </c>
      <c r="F440" s="21">
        <v>6.6000000000000005</v>
      </c>
      <c r="G440" s="21">
        <v>3</v>
      </c>
      <c r="H440" s="21">
        <v>18</v>
      </c>
      <c r="I440" s="21">
        <v>3.5999999999999996</v>
      </c>
      <c r="J440" s="21">
        <v>1.7999999999999998</v>
      </c>
      <c r="K440" s="21">
        <v>9.9</v>
      </c>
      <c r="L440" s="21">
        <v>1.8</v>
      </c>
      <c r="M440" s="21">
        <v>2.6999999999999997</v>
      </c>
      <c r="N440" s="21">
        <v>1.2600000000000002</v>
      </c>
      <c r="O440" s="21">
        <v>2.34</v>
      </c>
    </row>
    <row r="441" spans="1:15" x14ac:dyDescent="0.25">
      <c r="A441" s="35">
        <v>43550</v>
      </c>
      <c r="B441" s="16">
        <v>12</v>
      </c>
      <c r="C441" s="16" t="s">
        <v>72</v>
      </c>
      <c r="D441" s="21">
        <v>45</v>
      </c>
      <c r="E441" s="21">
        <v>9</v>
      </c>
      <c r="F441" s="21">
        <v>24.750000000000004</v>
      </c>
      <c r="G441" s="21">
        <v>11.25</v>
      </c>
      <c r="H441" s="21">
        <v>67.5</v>
      </c>
      <c r="I441" s="21">
        <v>13.5</v>
      </c>
      <c r="J441" s="21">
        <v>6.75</v>
      </c>
      <c r="K441" s="21">
        <v>37.125</v>
      </c>
      <c r="L441" s="21">
        <v>6.75</v>
      </c>
      <c r="M441" s="21">
        <v>10.125</v>
      </c>
      <c r="N441" s="21">
        <v>4.7250000000000005</v>
      </c>
      <c r="O441" s="21">
        <v>8.7750000000000004</v>
      </c>
    </row>
    <row r="442" spans="1:15" x14ac:dyDescent="0.25">
      <c r="A442" s="35">
        <v>43550</v>
      </c>
      <c r="B442" s="16">
        <v>19</v>
      </c>
      <c r="C442" s="16" t="s">
        <v>79</v>
      </c>
      <c r="D442" s="21">
        <v>45</v>
      </c>
      <c r="E442" s="21">
        <v>9</v>
      </c>
      <c r="F442" s="21">
        <v>24.750000000000004</v>
      </c>
      <c r="G442" s="21">
        <v>11.25</v>
      </c>
      <c r="H442" s="21">
        <v>67.5</v>
      </c>
      <c r="I442" s="21">
        <v>13.5</v>
      </c>
      <c r="J442" s="21">
        <v>6.75</v>
      </c>
      <c r="K442" s="21">
        <v>37.125</v>
      </c>
      <c r="L442" s="21">
        <v>6.75</v>
      </c>
      <c r="M442" s="21">
        <v>10.125</v>
      </c>
      <c r="N442" s="21">
        <v>4.7250000000000005</v>
      </c>
      <c r="O442" s="21">
        <v>8.7750000000000004</v>
      </c>
    </row>
    <row r="443" spans="1:15" x14ac:dyDescent="0.25">
      <c r="A443" s="35">
        <v>43550</v>
      </c>
      <c r="B443" s="16">
        <v>17</v>
      </c>
      <c r="C443" s="16" t="s">
        <v>77</v>
      </c>
      <c r="D443" s="21">
        <v>20</v>
      </c>
      <c r="E443" s="21">
        <v>4</v>
      </c>
      <c r="F443" s="21">
        <v>11</v>
      </c>
      <c r="G443" s="21">
        <v>5</v>
      </c>
      <c r="H443" s="21">
        <v>30</v>
      </c>
      <c r="I443" s="21">
        <v>6</v>
      </c>
      <c r="J443" s="21">
        <v>3</v>
      </c>
      <c r="K443" s="21">
        <v>16.5</v>
      </c>
      <c r="L443" s="21">
        <v>3</v>
      </c>
      <c r="M443" s="21">
        <v>4.5</v>
      </c>
      <c r="N443" s="21">
        <v>2.1</v>
      </c>
      <c r="O443" s="21">
        <v>3.9000000000000004</v>
      </c>
    </row>
    <row r="444" spans="1:15" x14ac:dyDescent="0.25">
      <c r="A444" s="35">
        <v>43550</v>
      </c>
      <c r="B444" s="16">
        <v>13</v>
      </c>
      <c r="C444" s="16" t="s">
        <v>73</v>
      </c>
      <c r="D444" s="21">
        <v>60</v>
      </c>
      <c r="E444" s="21">
        <v>12</v>
      </c>
      <c r="F444" s="21">
        <v>33</v>
      </c>
      <c r="G444" s="21">
        <v>15</v>
      </c>
      <c r="H444" s="21">
        <v>90</v>
      </c>
      <c r="I444" s="21">
        <v>18</v>
      </c>
      <c r="J444" s="21">
        <v>9</v>
      </c>
      <c r="K444" s="21">
        <v>49.500000000000007</v>
      </c>
      <c r="L444" s="21">
        <v>9</v>
      </c>
      <c r="M444" s="21">
        <v>13.5</v>
      </c>
      <c r="N444" s="21">
        <v>6.3000000000000007</v>
      </c>
      <c r="O444" s="21">
        <v>11.700000000000001</v>
      </c>
    </row>
    <row r="445" spans="1:15" x14ac:dyDescent="0.25">
      <c r="A445" s="35">
        <v>43550</v>
      </c>
      <c r="B445" s="16">
        <v>20</v>
      </c>
      <c r="C445" s="16" t="s">
        <v>80</v>
      </c>
      <c r="D445" s="21">
        <v>15</v>
      </c>
      <c r="E445" s="21">
        <v>3</v>
      </c>
      <c r="F445" s="21">
        <v>8.25</v>
      </c>
      <c r="G445" s="21">
        <v>3.75</v>
      </c>
      <c r="H445" s="21">
        <v>22.5</v>
      </c>
      <c r="I445" s="21">
        <v>4.5</v>
      </c>
      <c r="J445" s="21">
        <v>2.25</v>
      </c>
      <c r="K445" s="21">
        <v>12.375000000000002</v>
      </c>
      <c r="L445" s="21">
        <v>2.25</v>
      </c>
      <c r="M445" s="21">
        <v>3.375</v>
      </c>
      <c r="N445" s="21">
        <v>1.5750000000000002</v>
      </c>
      <c r="O445" s="21">
        <v>2.9250000000000003</v>
      </c>
    </row>
    <row r="446" spans="1:15" x14ac:dyDescent="0.25">
      <c r="A446" s="35">
        <v>43551</v>
      </c>
      <c r="B446" s="16">
        <v>11</v>
      </c>
      <c r="C446" s="16" t="s">
        <v>71</v>
      </c>
      <c r="D446" s="21">
        <v>60</v>
      </c>
      <c r="E446" s="21">
        <v>12</v>
      </c>
      <c r="F446" s="21">
        <v>33</v>
      </c>
      <c r="G446" s="21">
        <v>15</v>
      </c>
      <c r="H446" s="21">
        <v>90</v>
      </c>
      <c r="I446" s="21">
        <v>18</v>
      </c>
      <c r="J446" s="21">
        <v>9</v>
      </c>
      <c r="K446" s="21">
        <v>49.500000000000007</v>
      </c>
      <c r="L446" s="21">
        <v>9</v>
      </c>
      <c r="M446" s="21">
        <v>13.5</v>
      </c>
      <c r="N446" s="21">
        <v>6.3000000000000007</v>
      </c>
      <c r="O446" s="21">
        <v>11.700000000000001</v>
      </c>
    </row>
    <row r="447" spans="1:15" x14ac:dyDescent="0.25">
      <c r="A447" s="35">
        <v>43551</v>
      </c>
      <c r="B447" s="16">
        <v>3</v>
      </c>
      <c r="C447" s="16" t="s">
        <v>66</v>
      </c>
      <c r="D447" s="21">
        <v>40</v>
      </c>
      <c r="E447" s="21">
        <v>8</v>
      </c>
      <c r="F447" s="21">
        <v>22</v>
      </c>
      <c r="G447" s="21">
        <v>10</v>
      </c>
      <c r="H447" s="21">
        <v>60</v>
      </c>
      <c r="I447" s="21">
        <v>12</v>
      </c>
      <c r="J447" s="21">
        <v>6</v>
      </c>
      <c r="K447" s="21">
        <v>33</v>
      </c>
      <c r="L447" s="21">
        <v>6</v>
      </c>
      <c r="M447" s="21">
        <v>9</v>
      </c>
      <c r="N447" s="21">
        <v>4.2</v>
      </c>
      <c r="O447" s="21">
        <v>7.8000000000000007</v>
      </c>
    </row>
    <row r="448" spans="1:15" x14ac:dyDescent="0.25">
      <c r="A448" s="35">
        <v>43551</v>
      </c>
      <c r="B448" s="16">
        <v>2</v>
      </c>
      <c r="C448" s="16" t="s">
        <v>65</v>
      </c>
      <c r="D448" s="21">
        <v>50</v>
      </c>
      <c r="E448" s="21">
        <v>10</v>
      </c>
      <c r="F448" s="21">
        <v>27.500000000000004</v>
      </c>
      <c r="G448" s="21">
        <v>12.5</v>
      </c>
      <c r="H448" s="21">
        <v>75</v>
      </c>
      <c r="I448" s="21">
        <v>15</v>
      </c>
      <c r="J448" s="21">
        <v>7.5</v>
      </c>
      <c r="K448" s="21">
        <v>41.25</v>
      </c>
      <c r="L448" s="21">
        <v>7.5</v>
      </c>
      <c r="M448" s="21">
        <v>11.25</v>
      </c>
      <c r="N448" s="21">
        <v>5.2500000000000009</v>
      </c>
      <c r="O448" s="21">
        <v>9.75</v>
      </c>
    </row>
    <row r="449" spans="1:15" x14ac:dyDescent="0.25">
      <c r="A449" s="35">
        <v>43521</v>
      </c>
      <c r="B449" s="16">
        <v>1</v>
      </c>
      <c r="C449" s="16" t="s">
        <v>3</v>
      </c>
      <c r="D449" s="21">
        <v>22</v>
      </c>
      <c r="E449" s="21">
        <v>4.4000000000000004</v>
      </c>
      <c r="F449" s="21">
        <v>12.100000000000001</v>
      </c>
      <c r="G449" s="21">
        <v>5.5</v>
      </c>
      <c r="H449" s="21">
        <v>33</v>
      </c>
      <c r="I449" s="21">
        <v>6.6</v>
      </c>
      <c r="J449" s="21">
        <v>3.3</v>
      </c>
      <c r="K449" s="21">
        <v>18.150000000000002</v>
      </c>
      <c r="L449" s="21">
        <v>3.3000000000000003</v>
      </c>
      <c r="M449" s="21">
        <v>4.95</v>
      </c>
      <c r="N449" s="21">
        <v>2.31</v>
      </c>
      <c r="O449" s="21">
        <v>4.29</v>
      </c>
    </row>
    <row r="450" spans="1:15" x14ac:dyDescent="0.25">
      <c r="A450" s="35">
        <v>43521</v>
      </c>
      <c r="B450" s="16">
        <v>18</v>
      </c>
      <c r="C450" s="16" t="s">
        <v>78</v>
      </c>
      <c r="D450" s="21">
        <v>35</v>
      </c>
      <c r="E450" s="21">
        <v>7</v>
      </c>
      <c r="F450" s="21">
        <v>19.25</v>
      </c>
      <c r="G450" s="21">
        <v>8.75</v>
      </c>
      <c r="H450" s="21">
        <v>52.5</v>
      </c>
      <c r="I450" s="21">
        <v>10.5</v>
      </c>
      <c r="J450" s="21">
        <v>5.25</v>
      </c>
      <c r="K450" s="21">
        <v>28.875000000000004</v>
      </c>
      <c r="L450" s="21">
        <v>5.25</v>
      </c>
      <c r="M450" s="21">
        <v>7.875</v>
      </c>
      <c r="N450" s="21">
        <v>3.6750000000000003</v>
      </c>
      <c r="O450" s="21">
        <v>6.8250000000000002</v>
      </c>
    </row>
    <row r="451" spans="1:15" x14ac:dyDescent="0.25">
      <c r="A451" s="35">
        <v>43521</v>
      </c>
      <c r="B451" s="16">
        <v>9</v>
      </c>
      <c r="C451" s="16" t="s">
        <v>70</v>
      </c>
      <c r="D451" s="21">
        <v>54</v>
      </c>
      <c r="E451" s="21">
        <v>10.8</v>
      </c>
      <c r="F451" s="21">
        <v>29.700000000000003</v>
      </c>
      <c r="G451" s="21">
        <v>13.5</v>
      </c>
      <c r="H451" s="21">
        <v>81</v>
      </c>
      <c r="I451" s="21">
        <v>16.2</v>
      </c>
      <c r="J451" s="21">
        <v>8.1</v>
      </c>
      <c r="K451" s="21">
        <v>44.550000000000004</v>
      </c>
      <c r="L451" s="21">
        <v>8.1</v>
      </c>
      <c r="M451" s="21">
        <v>12.15</v>
      </c>
      <c r="N451" s="21">
        <v>5.6700000000000008</v>
      </c>
      <c r="O451" s="21">
        <v>10.530000000000001</v>
      </c>
    </row>
    <row r="452" spans="1:15" x14ac:dyDescent="0.25">
      <c r="A452" s="35">
        <v>43515</v>
      </c>
      <c r="B452" s="16">
        <v>6</v>
      </c>
      <c r="C452" s="16" t="s">
        <v>68</v>
      </c>
      <c r="D452" s="21">
        <v>30</v>
      </c>
      <c r="E452" s="21">
        <v>6</v>
      </c>
      <c r="F452" s="21">
        <v>16.5</v>
      </c>
      <c r="G452" s="21">
        <v>7.5</v>
      </c>
      <c r="H452" s="21">
        <v>45</v>
      </c>
      <c r="I452" s="21">
        <v>9</v>
      </c>
      <c r="J452" s="21">
        <v>4.5</v>
      </c>
      <c r="K452" s="21">
        <v>24.750000000000004</v>
      </c>
      <c r="L452" s="21">
        <v>4.5</v>
      </c>
      <c r="M452" s="21">
        <v>6.75</v>
      </c>
      <c r="N452" s="21">
        <v>3.1500000000000004</v>
      </c>
      <c r="O452" s="21">
        <v>5.8500000000000005</v>
      </c>
    </row>
    <row r="453" spans="1:15" x14ac:dyDescent="0.25">
      <c r="A453" s="35">
        <v>43516</v>
      </c>
      <c r="B453" s="16">
        <v>15</v>
      </c>
      <c r="C453" s="16" t="s">
        <v>75</v>
      </c>
      <c r="D453" s="21">
        <v>40</v>
      </c>
      <c r="E453" s="21">
        <v>8</v>
      </c>
      <c r="F453" s="21">
        <v>22</v>
      </c>
      <c r="G453" s="21">
        <v>10</v>
      </c>
      <c r="H453" s="21">
        <v>60</v>
      </c>
      <c r="I453" s="21">
        <v>12</v>
      </c>
      <c r="J453" s="21">
        <v>6</v>
      </c>
      <c r="K453" s="21">
        <v>33</v>
      </c>
      <c r="L453" s="21">
        <v>6</v>
      </c>
      <c r="M453" s="21">
        <v>9</v>
      </c>
      <c r="N453" s="21">
        <v>4.2</v>
      </c>
      <c r="O453" s="21">
        <v>7.8000000000000007</v>
      </c>
    </row>
    <row r="454" spans="1:15" x14ac:dyDescent="0.25">
      <c r="A454" s="35">
        <v>43516</v>
      </c>
      <c r="B454" s="16">
        <v>8</v>
      </c>
      <c r="C454" s="16" t="s">
        <v>4</v>
      </c>
      <c r="D454" s="21">
        <v>30</v>
      </c>
      <c r="E454" s="21">
        <v>6</v>
      </c>
      <c r="F454" s="21">
        <v>16.5</v>
      </c>
      <c r="G454" s="21">
        <v>7.5</v>
      </c>
      <c r="H454" s="21">
        <v>45</v>
      </c>
      <c r="I454" s="21">
        <v>9</v>
      </c>
      <c r="J454" s="21">
        <v>4.5</v>
      </c>
      <c r="K454" s="21">
        <v>24.750000000000004</v>
      </c>
      <c r="L454" s="21">
        <v>4.5</v>
      </c>
      <c r="M454" s="21">
        <v>6.75</v>
      </c>
      <c r="N454" s="21">
        <v>3.1500000000000004</v>
      </c>
      <c r="O454" s="21">
        <v>5.8500000000000005</v>
      </c>
    </row>
    <row r="455" spans="1:15" x14ac:dyDescent="0.25">
      <c r="A455" s="35">
        <v>43516</v>
      </c>
      <c r="B455" s="16">
        <v>7</v>
      </c>
      <c r="C455" s="16" t="s">
        <v>69</v>
      </c>
      <c r="D455" s="21">
        <v>20</v>
      </c>
      <c r="E455" s="21">
        <v>4</v>
      </c>
      <c r="F455" s="21">
        <v>11</v>
      </c>
      <c r="G455" s="21">
        <v>5</v>
      </c>
      <c r="H455" s="21">
        <v>30</v>
      </c>
      <c r="I455" s="21">
        <v>6</v>
      </c>
      <c r="J455" s="21">
        <v>3</v>
      </c>
      <c r="K455" s="21">
        <v>16.5</v>
      </c>
      <c r="L455" s="21">
        <v>3</v>
      </c>
      <c r="M455" s="21">
        <v>4.5</v>
      </c>
      <c r="N455" s="21">
        <v>2.1</v>
      </c>
      <c r="O455" s="21">
        <v>3.9000000000000004</v>
      </c>
    </row>
    <row r="456" spans="1:15" x14ac:dyDescent="0.25">
      <c r="A456" s="35">
        <v>43516</v>
      </c>
      <c r="B456" s="16">
        <v>10</v>
      </c>
      <c r="C456" s="16" t="s">
        <v>5</v>
      </c>
      <c r="D456" s="21">
        <v>15</v>
      </c>
      <c r="E456" s="21">
        <v>3</v>
      </c>
      <c r="F456" s="21">
        <v>8.25</v>
      </c>
      <c r="G456" s="21">
        <v>3.75</v>
      </c>
      <c r="H456" s="21">
        <v>22.5</v>
      </c>
      <c r="I456" s="21">
        <v>4.5</v>
      </c>
      <c r="J456" s="21">
        <v>2.25</v>
      </c>
      <c r="K456" s="21">
        <v>12.375000000000002</v>
      </c>
      <c r="L456" s="21">
        <v>2.25</v>
      </c>
      <c r="M456" s="21">
        <v>3.375</v>
      </c>
      <c r="N456" s="21">
        <v>1.5750000000000002</v>
      </c>
      <c r="O456" s="21">
        <v>2.9250000000000003</v>
      </c>
    </row>
    <row r="457" spans="1:15" x14ac:dyDescent="0.25">
      <c r="A457" s="35">
        <v>43517</v>
      </c>
      <c r="B457" s="16">
        <v>21</v>
      </c>
      <c r="C457" s="16" t="s">
        <v>81</v>
      </c>
      <c r="D457" s="21">
        <v>50</v>
      </c>
      <c r="E457" s="21">
        <v>10</v>
      </c>
      <c r="F457" s="21">
        <v>27.500000000000004</v>
      </c>
      <c r="G457" s="21">
        <v>12.5</v>
      </c>
      <c r="H457" s="21">
        <v>75</v>
      </c>
      <c r="I457" s="21">
        <v>15</v>
      </c>
      <c r="J457" s="21">
        <v>7.5</v>
      </c>
      <c r="K457" s="21">
        <v>41.25</v>
      </c>
      <c r="L457" s="21">
        <v>7.5</v>
      </c>
      <c r="M457" s="21">
        <v>11.25</v>
      </c>
      <c r="N457" s="21">
        <v>5.2500000000000009</v>
      </c>
      <c r="O457" s="21">
        <v>9.75</v>
      </c>
    </row>
    <row r="458" spans="1:15" x14ac:dyDescent="0.25">
      <c r="A458" s="35">
        <v>43522</v>
      </c>
      <c r="B458" s="16">
        <v>14</v>
      </c>
      <c r="C458" s="16" t="s">
        <v>74</v>
      </c>
      <c r="D458" s="21">
        <v>60</v>
      </c>
      <c r="E458" s="21">
        <v>12</v>
      </c>
      <c r="F458" s="21">
        <v>33</v>
      </c>
      <c r="G458" s="21">
        <v>15</v>
      </c>
      <c r="H458" s="21">
        <v>90</v>
      </c>
      <c r="I458" s="21">
        <v>18</v>
      </c>
      <c r="J458" s="21">
        <v>9</v>
      </c>
      <c r="K458" s="21">
        <v>49.500000000000007</v>
      </c>
      <c r="L458" s="21">
        <v>9</v>
      </c>
      <c r="M458" s="21">
        <v>13.5</v>
      </c>
      <c r="N458" s="21">
        <v>6.3000000000000007</v>
      </c>
      <c r="O458" s="21">
        <v>11.700000000000001</v>
      </c>
    </row>
    <row r="459" spans="1:15" x14ac:dyDescent="0.25">
      <c r="A459" s="35">
        <v>43522</v>
      </c>
      <c r="B459" s="16">
        <v>5</v>
      </c>
      <c r="C459" s="16" t="s">
        <v>6</v>
      </c>
      <c r="D459" s="21">
        <v>45</v>
      </c>
      <c r="E459" s="21">
        <v>9</v>
      </c>
      <c r="F459" s="21">
        <v>24.750000000000004</v>
      </c>
      <c r="G459" s="21">
        <v>11.25</v>
      </c>
      <c r="H459" s="21">
        <v>67.5</v>
      </c>
      <c r="I459" s="21">
        <v>13.5</v>
      </c>
      <c r="J459" s="21">
        <v>6.75</v>
      </c>
      <c r="K459" s="21">
        <v>37.125</v>
      </c>
      <c r="L459" s="21">
        <v>6.75</v>
      </c>
      <c r="M459" s="21">
        <v>10.125</v>
      </c>
      <c r="N459" s="21">
        <v>4.7250000000000005</v>
      </c>
      <c r="O459" s="21">
        <v>8.7750000000000004</v>
      </c>
    </row>
    <row r="460" spans="1:15" x14ac:dyDescent="0.25">
      <c r="A460" s="35">
        <v>43522</v>
      </c>
      <c r="B460" s="16">
        <v>12</v>
      </c>
      <c r="C460" s="16" t="s">
        <v>72</v>
      </c>
      <c r="D460" s="21">
        <v>65</v>
      </c>
      <c r="E460" s="21">
        <v>13</v>
      </c>
      <c r="F460" s="21">
        <v>35.75</v>
      </c>
      <c r="G460" s="21">
        <v>16.25</v>
      </c>
      <c r="H460" s="21">
        <v>97.5</v>
      </c>
      <c r="I460" s="21">
        <v>19.5</v>
      </c>
      <c r="J460" s="21">
        <v>9.75</v>
      </c>
      <c r="K460" s="21">
        <v>53.625000000000007</v>
      </c>
      <c r="L460" s="21">
        <v>9.75</v>
      </c>
      <c r="M460" s="21">
        <v>14.625</v>
      </c>
      <c r="N460" s="21">
        <v>6.8250000000000011</v>
      </c>
      <c r="O460" s="21">
        <v>12.675000000000001</v>
      </c>
    </row>
    <row r="461" spans="1:15" x14ac:dyDescent="0.25">
      <c r="A461" s="35">
        <v>43522</v>
      </c>
      <c r="B461" s="16">
        <v>19</v>
      </c>
      <c r="C461" s="16" t="s">
        <v>79</v>
      </c>
      <c r="D461" s="21">
        <v>57</v>
      </c>
      <c r="E461" s="21">
        <v>11.4</v>
      </c>
      <c r="F461" s="21">
        <v>31.35</v>
      </c>
      <c r="G461" s="21">
        <v>14.25</v>
      </c>
      <c r="H461" s="21">
        <v>85.5</v>
      </c>
      <c r="I461" s="21">
        <v>17.099999999999998</v>
      </c>
      <c r="J461" s="21">
        <v>8.5499999999999989</v>
      </c>
      <c r="K461" s="21">
        <v>47.025000000000006</v>
      </c>
      <c r="L461" s="21">
        <v>8.5500000000000007</v>
      </c>
      <c r="M461" s="21">
        <v>12.824999999999999</v>
      </c>
      <c r="N461" s="21">
        <v>5.9850000000000003</v>
      </c>
      <c r="O461" s="21">
        <v>11.115</v>
      </c>
    </row>
    <row r="462" spans="1:15" x14ac:dyDescent="0.25">
      <c r="A462" s="35">
        <v>43518</v>
      </c>
      <c r="B462" s="16">
        <v>17</v>
      </c>
      <c r="C462" s="16" t="s">
        <v>77</v>
      </c>
      <c r="D462" s="21">
        <v>54</v>
      </c>
      <c r="E462" s="21">
        <v>10.8</v>
      </c>
      <c r="F462" s="21">
        <v>29.700000000000003</v>
      </c>
      <c r="G462" s="21">
        <v>13.5</v>
      </c>
      <c r="H462" s="21">
        <v>81</v>
      </c>
      <c r="I462" s="21">
        <v>16.2</v>
      </c>
      <c r="J462" s="21">
        <v>8.1</v>
      </c>
      <c r="K462" s="21">
        <v>44.550000000000004</v>
      </c>
      <c r="L462" s="21">
        <v>8.1</v>
      </c>
      <c r="M462" s="21">
        <v>12.15</v>
      </c>
      <c r="N462" s="21">
        <v>5.6700000000000008</v>
      </c>
      <c r="O462" s="21">
        <v>10.530000000000001</v>
      </c>
    </row>
    <row r="463" spans="1:15" x14ac:dyDescent="0.25">
      <c r="A463" s="35">
        <v>43518</v>
      </c>
      <c r="B463" s="16">
        <v>13</v>
      </c>
      <c r="C463" s="16" t="s">
        <v>73</v>
      </c>
      <c r="D463" s="21">
        <v>32</v>
      </c>
      <c r="E463" s="21">
        <v>6.4</v>
      </c>
      <c r="F463" s="21">
        <v>17.600000000000001</v>
      </c>
      <c r="G463" s="21">
        <v>8</v>
      </c>
      <c r="H463" s="21">
        <v>48</v>
      </c>
      <c r="I463" s="21">
        <v>9.6</v>
      </c>
      <c r="J463" s="21">
        <v>4.8</v>
      </c>
      <c r="K463" s="21">
        <v>26.400000000000002</v>
      </c>
      <c r="L463" s="21">
        <v>4.8000000000000007</v>
      </c>
      <c r="M463" s="21">
        <v>7.1999999999999993</v>
      </c>
      <c r="N463" s="21">
        <v>3.3600000000000003</v>
      </c>
      <c r="O463" s="21">
        <v>6.24</v>
      </c>
    </row>
    <row r="464" spans="1:15" x14ac:dyDescent="0.25">
      <c r="A464" s="35">
        <v>43518</v>
      </c>
      <c r="B464" s="16">
        <v>20</v>
      </c>
      <c r="C464" s="16" t="s">
        <v>80</v>
      </c>
      <c r="D464" s="21">
        <v>12</v>
      </c>
      <c r="E464" s="21">
        <v>2.4000000000000004</v>
      </c>
      <c r="F464" s="21">
        <v>6.6000000000000005</v>
      </c>
      <c r="G464" s="21">
        <v>3</v>
      </c>
      <c r="H464" s="21">
        <v>18</v>
      </c>
      <c r="I464" s="21">
        <v>3.5999999999999996</v>
      </c>
      <c r="J464" s="21">
        <v>1.7999999999999998</v>
      </c>
      <c r="K464" s="21">
        <v>9.9</v>
      </c>
      <c r="L464" s="21">
        <v>1.8</v>
      </c>
      <c r="M464" s="21">
        <v>2.6999999999999997</v>
      </c>
      <c r="N464" s="21">
        <v>1.2600000000000002</v>
      </c>
      <c r="O464" s="21">
        <v>2.34</v>
      </c>
    </row>
    <row r="465" spans="1:15" x14ac:dyDescent="0.25">
      <c r="A465" s="35">
        <v>43523</v>
      </c>
      <c r="B465" s="16">
        <v>11</v>
      </c>
      <c r="C465" s="16" t="s">
        <v>71</v>
      </c>
      <c r="D465" s="21">
        <v>78</v>
      </c>
      <c r="E465" s="21">
        <v>15.600000000000001</v>
      </c>
      <c r="F465" s="21">
        <v>42.900000000000006</v>
      </c>
      <c r="G465" s="21">
        <v>19.5</v>
      </c>
      <c r="H465" s="21">
        <v>117</v>
      </c>
      <c r="I465" s="21">
        <v>23.4</v>
      </c>
      <c r="J465" s="21">
        <v>11.7</v>
      </c>
      <c r="K465" s="21">
        <v>64.350000000000009</v>
      </c>
      <c r="L465" s="21">
        <v>11.700000000000001</v>
      </c>
      <c r="M465" s="21">
        <v>17.55</v>
      </c>
      <c r="N465" s="21">
        <v>8.1900000000000013</v>
      </c>
      <c r="O465" s="21">
        <v>15.21</v>
      </c>
    </row>
    <row r="466" spans="1:15" x14ac:dyDescent="0.25">
      <c r="A466" s="35">
        <v>43523</v>
      </c>
      <c r="B466" s="16">
        <v>18</v>
      </c>
      <c r="C466" s="16" t="s">
        <v>78</v>
      </c>
      <c r="D466" s="21">
        <v>80</v>
      </c>
      <c r="E466" s="21">
        <v>16</v>
      </c>
      <c r="F466" s="21">
        <v>44</v>
      </c>
      <c r="G466" s="21">
        <v>20</v>
      </c>
      <c r="H466" s="21">
        <v>120</v>
      </c>
      <c r="I466" s="21">
        <v>24</v>
      </c>
      <c r="J466" s="21">
        <v>12</v>
      </c>
      <c r="K466" s="21">
        <v>66</v>
      </c>
      <c r="L466" s="21">
        <v>12</v>
      </c>
      <c r="M466" s="21">
        <v>18</v>
      </c>
      <c r="N466" s="21">
        <v>8.4</v>
      </c>
      <c r="O466" s="21">
        <v>15.600000000000001</v>
      </c>
    </row>
    <row r="467" spans="1:15" x14ac:dyDescent="0.25">
      <c r="A467" s="35">
        <v>43523</v>
      </c>
      <c r="B467" s="16">
        <v>9</v>
      </c>
      <c r="C467" s="16" t="s">
        <v>70</v>
      </c>
      <c r="D467" s="21">
        <v>55</v>
      </c>
      <c r="E467" s="21">
        <v>11</v>
      </c>
      <c r="F467" s="21">
        <v>30.250000000000004</v>
      </c>
      <c r="G467" s="21">
        <v>13.75</v>
      </c>
      <c r="H467" s="21">
        <v>82.5</v>
      </c>
      <c r="I467" s="21">
        <v>16.5</v>
      </c>
      <c r="J467" s="21">
        <v>8.25</v>
      </c>
      <c r="K467" s="21">
        <v>45.375000000000007</v>
      </c>
      <c r="L467" s="21">
        <v>8.25</v>
      </c>
      <c r="M467" s="21">
        <v>12.375</v>
      </c>
      <c r="N467" s="21">
        <v>5.7750000000000004</v>
      </c>
      <c r="O467" s="21">
        <v>10.725</v>
      </c>
    </row>
    <row r="468" spans="1:15" x14ac:dyDescent="0.25">
      <c r="A468" s="35">
        <v>43523</v>
      </c>
      <c r="B468" s="16">
        <v>6</v>
      </c>
      <c r="C468" s="16" t="s">
        <v>68</v>
      </c>
      <c r="D468" s="21">
        <v>65</v>
      </c>
      <c r="E468" s="21">
        <v>13</v>
      </c>
      <c r="F468" s="21">
        <v>35.75</v>
      </c>
      <c r="G468" s="21">
        <v>16.25</v>
      </c>
      <c r="H468" s="21">
        <v>97.5</v>
      </c>
      <c r="I468" s="21">
        <v>19.5</v>
      </c>
      <c r="J468" s="21">
        <v>9.75</v>
      </c>
      <c r="K468" s="21">
        <v>53.625000000000007</v>
      </c>
      <c r="L468" s="21">
        <v>9.75</v>
      </c>
      <c r="M468" s="21">
        <v>14.625</v>
      </c>
      <c r="N468" s="21">
        <v>6.8250000000000011</v>
      </c>
      <c r="O468" s="21">
        <v>12.675000000000001</v>
      </c>
    </row>
    <row r="469" spans="1:15" x14ac:dyDescent="0.25">
      <c r="A469" s="35">
        <v>43523</v>
      </c>
      <c r="B469" s="16">
        <v>15</v>
      </c>
      <c r="C469" s="16" t="s">
        <v>75</v>
      </c>
      <c r="D469" s="21">
        <v>45</v>
      </c>
      <c r="E469" s="21">
        <v>9</v>
      </c>
      <c r="F469" s="21">
        <v>24.750000000000004</v>
      </c>
      <c r="G469" s="21">
        <v>11.25</v>
      </c>
      <c r="H469" s="21">
        <v>67.5</v>
      </c>
      <c r="I469" s="21">
        <v>13.5</v>
      </c>
      <c r="J469" s="21">
        <v>6.75</v>
      </c>
      <c r="K469" s="21">
        <v>37.125</v>
      </c>
      <c r="L469" s="21">
        <v>6.75</v>
      </c>
      <c r="M469" s="21">
        <v>10.125</v>
      </c>
      <c r="N469" s="21">
        <v>4.7250000000000005</v>
      </c>
      <c r="O469" s="21">
        <v>8.7750000000000004</v>
      </c>
    </row>
    <row r="470" spans="1:15" x14ac:dyDescent="0.25">
      <c r="A470" s="35">
        <v>43523</v>
      </c>
      <c r="B470" s="16">
        <v>8</v>
      </c>
      <c r="C470" s="16" t="s">
        <v>4</v>
      </c>
      <c r="D470" s="21">
        <v>32</v>
      </c>
      <c r="E470" s="21">
        <v>6.4</v>
      </c>
      <c r="F470" s="21">
        <v>17.600000000000001</v>
      </c>
      <c r="G470" s="21">
        <v>8</v>
      </c>
      <c r="H470" s="21">
        <v>48</v>
      </c>
      <c r="I470" s="21">
        <v>9.6</v>
      </c>
      <c r="J470" s="21">
        <v>4.8</v>
      </c>
      <c r="K470" s="21">
        <v>26.400000000000002</v>
      </c>
      <c r="L470" s="21">
        <v>4.8000000000000007</v>
      </c>
      <c r="M470" s="21">
        <v>7.1999999999999993</v>
      </c>
      <c r="N470" s="21">
        <v>3.3600000000000003</v>
      </c>
      <c r="O470" s="21">
        <v>6.24</v>
      </c>
    </row>
    <row r="471" spans="1:15" x14ac:dyDescent="0.25">
      <c r="A471" s="35">
        <v>43523</v>
      </c>
      <c r="B471" s="16">
        <v>7</v>
      </c>
      <c r="C471" s="16" t="s">
        <v>69</v>
      </c>
      <c r="D471" s="21">
        <v>12</v>
      </c>
      <c r="E471" s="21">
        <v>2.4000000000000004</v>
      </c>
      <c r="F471" s="21">
        <v>6.6000000000000005</v>
      </c>
      <c r="G471" s="21">
        <v>3</v>
      </c>
      <c r="H471" s="21">
        <v>18</v>
      </c>
      <c r="I471" s="21">
        <v>3.5999999999999996</v>
      </c>
      <c r="J471" s="21">
        <v>1.7999999999999998</v>
      </c>
      <c r="K471" s="21">
        <v>9.9</v>
      </c>
      <c r="L471" s="21">
        <v>1.8</v>
      </c>
      <c r="M471" s="21">
        <v>2.6999999999999997</v>
      </c>
      <c r="N471" s="21">
        <v>1.2600000000000002</v>
      </c>
      <c r="O471" s="21">
        <v>2.34</v>
      </c>
    </row>
    <row r="472" spans="1:15" x14ac:dyDescent="0.25">
      <c r="A472" s="35">
        <v>43519</v>
      </c>
      <c r="B472" s="16">
        <v>10</v>
      </c>
      <c r="C472" s="16" t="s">
        <v>5</v>
      </c>
      <c r="D472" s="21">
        <v>45</v>
      </c>
      <c r="E472" s="21">
        <v>9</v>
      </c>
      <c r="F472" s="21">
        <v>24.750000000000004</v>
      </c>
      <c r="G472" s="21">
        <v>11.25</v>
      </c>
      <c r="H472" s="21">
        <v>67.5</v>
      </c>
      <c r="I472" s="21">
        <v>13.5</v>
      </c>
      <c r="J472" s="21">
        <v>6.75</v>
      </c>
      <c r="K472" s="21">
        <v>37.125</v>
      </c>
      <c r="L472" s="21">
        <v>6.75</v>
      </c>
      <c r="M472" s="21">
        <v>10.125</v>
      </c>
      <c r="N472" s="21">
        <v>4.7250000000000005</v>
      </c>
      <c r="O472" s="21">
        <v>8.7750000000000004</v>
      </c>
    </row>
    <row r="473" spans="1:15" x14ac:dyDescent="0.25">
      <c r="A473" s="35">
        <v>43524</v>
      </c>
      <c r="B473" s="16">
        <v>21</v>
      </c>
      <c r="C473" s="16" t="s">
        <v>81</v>
      </c>
      <c r="D473" s="21">
        <v>45</v>
      </c>
      <c r="E473" s="21">
        <v>9</v>
      </c>
      <c r="F473" s="21">
        <v>24.750000000000004</v>
      </c>
      <c r="G473" s="21">
        <v>11.25</v>
      </c>
      <c r="H473" s="21">
        <v>67.5</v>
      </c>
      <c r="I473" s="21">
        <v>13.5</v>
      </c>
      <c r="J473" s="21">
        <v>6.75</v>
      </c>
      <c r="K473" s="21">
        <v>37.125</v>
      </c>
      <c r="L473" s="21">
        <v>6.75</v>
      </c>
      <c r="M473" s="21">
        <v>10.125</v>
      </c>
      <c r="N473" s="21">
        <v>4.7250000000000005</v>
      </c>
      <c r="O473" s="21">
        <v>8.7750000000000004</v>
      </c>
    </row>
    <row r="474" spans="1:15" x14ac:dyDescent="0.25">
      <c r="A474" s="35">
        <v>43524</v>
      </c>
      <c r="B474" s="16">
        <v>14</v>
      </c>
      <c r="C474" s="16" t="s">
        <v>74</v>
      </c>
      <c r="D474" s="21">
        <v>20</v>
      </c>
      <c r="E474" s="21">
        <v>4</v>
      </c>
      <c r="F474" s="21">
        <v>11</v>
      </c>
      <c r="G474" s="21">
        <v>5</v>
      </c>
      <c r="H474" s="21">
        <v>30</v>
      </c>
      <c r="I474" s="21">
        <v>6</v>
      </c>
      <c r="J474" s="21">
        <v>3</v>
      </c>
      <c r="K474" s="21">
        <v>16.5</v>
      </c>
      <c r="L474" s="21">
        <v>3</v>
      </c>
      <c r="M474" s="21">
        <v>4.5</v>
      </c>
      <c r="N474" s="21">
        <v>2.1</v>
      </c>
      <c r="O474" s="21">
        <v>3.9000000000000004</v>
      </c>
    </row>
    <row r="475" spans="1:15" x14ac:dyDescent="0.25">
      <c r="A475" s="35">
        <v>43524</v>
      </c>
      <c r="B475" s="16">
        <v>5</v>
      </c>
      <c r="C475" s="16" t="s">
        <v>6</v>
      </c>
      <c r="D475" s="21">
        <v>60</v>
      </c>
      <c r="E475" s="21">
        <v>12</v>
      </c>
      <c r="F475" s="21">
        <v>33</v>
      </c>
      <c r="G475" s="21">
        <v>15</v>
      </c>
      <c r="H475" s="21">
        <v>90</v>
      </c>
      <c r="I475" s="21">
        <v>18</v>
      </c>
      <c r="J475" s="21">
        <v>9</v>
      </c>
      <c r="K475" s="21">
        <v>49.500000000000007</v>
      </c>
      <c r="L475" s="21">
        <v>9</v>
      </c>
      <c r="M475" s="21">
        <v>13.5</v>
      </c>
      <c r="N475" s="21">
        <v>6.3000000000000007</v>
      </c>
      <c r="O475" s="21">
        <v>11.700000000000001</v>
      </c>
    </row>
    <row r="476" spans="1:15" x14ac:dyDescent="0.25">
      <c r="A476" s="35">
        <v>43524</v>
      </c>
      <c r="B476" s="16">
        <v>12</v>
      </c>
      <c r="C476" s="16" t="s">
        <v>72</v>
      </c>
      <c r="D476" s="21">
        <v>15</v>
      </c>
      <c r="E476" s="21">
        <v>3</v>
      </c>
      <c r="F476" s="21">
        <v>8.25</v>
      </c>
      <c r="G476" s="21">
        <v>3.75</v>
      </c>
      <c r="H476" s="21">
        <v>22.5</v>
      </c>
      <c r="I476" s="21">
        <v>4.5</v>
      </c>
      <c r="J476" s="21">
        <v>2.25</v>
      </c>
      <c r="K476" s="21">
        <v>12.375000000000002</v>
      </c>
      <c r="L476" s="21">
        <v>2.25</v>
      </c>
      <c r="M476" s="21">
        <v>3.375</v>
      </c>
      <c r="N476" s="21">
        <v>1.5750000000000002</v>
      </c>
      <c r="O476" s="21">
        <v>2.9250000000000003</v>
      </c>
    </row>
    <row r="477" spans="1:15" x14ac:dyDescent="0.25">
      <c r="A477" s="35">
        <v>43524</v>
      </c>
      <c r="B477" s="16">
        <v>19</v>
      </c>
      <c r="C477" s="16" t="s">
        <v>79</v>
      </c>
      <c r="D477" s="21">
        <v>60</v>
      </c>
      <c r="E477" s="21">
        <v>12</v>
      </c>
      <c r="F477" s="21">
        <v>33</v>
      </c>
      <c r="G477" s="21">
        <v>15</v>
      </c>
      <c r="H477" s="21">
        <v>90</v>
      </c>
      <c r="I477" s="21">
        <v>18</v>
      </c>
      <c r="J477" s="21">
        <v>9</v>
      </c>
      <c r="K477" s="21">
        <v>49.500000000000007</v>
      </c>
      <c r="L477" s="21">
        <v>9</v>
      </c>
      <c r="M477" s="21">
        <v>13.5</v>
      </c>
      <c r="N477" s="21">
        <v>6.3000000000000007</v>
      </c>
      <c r="O477" s="21">
        <v>11.700000000000001</v>
      </c>
    </row>
    <row r="478" spans="1:15" x14ac:dyDescent="0.25">
      <c r="A478" s="35">
        <v>43524</v>
      </c>
      <c r="B478" s="16">
        <v>17</v>
      </c>
      <c r="C478" s="16" t="s">
        <v>77</v>
      </c>
      <c r="D478" s="21">
        <v>40</v>
      </c>
      <c r="E478" s="21">
        <v>8</v>
      </c>
      <c r="F478" s="21">
        <v>22</v>
      </c>
      <c r="G478" s="21">
        <v>10</v>
      </c>
      <c r="H478" s="21">
        <v>60</v>
      </c>
      <c r="I478" s="21">
        <v>12</v>
      </c>
      <c r="J478" s="21">
        <v>6</v>
      </c>
      <c r="K478" s="21">
        <v>33</v>
      </c>
      <c r="L478" s="21">
        <v>6</v>
      </c>
      <c r="M478" s="21">
        <v>9</v>
      </c>
      <c r="N478" s="21">
        <v>4.2</v>
      </c>
      <c r="O478" s="21">
        <v>7.8000000000000007</v>
      </c>
    </row>
    <row r="479" spans="1:15" x14ac:dyDescent="0.25">
      <c r="A479" s="35">
        <v>43521</v>
      </c>
      <c r="B479" s="16">
        <v>13</v>
      </c>
      <c r="C479" s="16" t="s">
        <v>73</v>
      </c>
      <c r="D479" s="21">
        <v>50</v>
      </c>
      <c r="E479" s="21">
        <v>10</v>
      </c>
      <c r="F479" s="21">
        <v>27.500000000000004</v>
      </c>
      <c r="G479" s="21">
        <v>12.5</v>
      </c>
      <c r="H479" s="21">
        <v>75</v>
      </c>
      <c r="I479" s="21">
        <v>15</v>
      </c>
      <c r="J479" s="21">
        <v>7.5</v>
      </c>
      <c r="K479" s="21">
        <v>41.25</v>
      </c>
      <c r="L479" s="21">
        <v>7.5</v>
      </c>
      <c r="M479" s="21">
        <v>11.25</v>
      </c>
      <c r="N479" s="21">
        <v>5.2500000000000009</v>
      </c>
      <c r="O479" s="21">
        <v>9.75</v>
      </c>
    </row>
    <row r="480" spans="1:15" x14ac:dyDescent="0.25">
      <c r="A480" s="35">
        <v>43521</v>
      </c>
      <c r="B480" s="16">
        <v>20</v>
      </c>
      <c r="C480" s="16" t="s">
        <v>80</v>
      </c>
      <c r="D480" s="21">
        <v>22</v>
      </c>
      <c r="E480" s="21">
        <v>4.4000000000000004</v>
      </c>
      <c r="F480" s="21">
        <v>12.100000000000001</v>
      </c>
      <c r="G480" s="21">
        <v>5.5</v>
      </c>
      <c r="H480" s="21">
        <v>33</v>
      </c>
      <c r="I480" s="21">
        <v>6.6</v>
      </c>
      <c r="J480" s="21">
        <v>3.3</v>
      </c>
      <c r="K480" s="21">
        <v>18.150000000000002</v>
      </c>
      <c r="L480" s="21">
        <v>3.3000000000000003</v>
      </c>
      <c r="M480" s="21">
        <v>4.95</v>
      </c>
      <c r="N480" s="21">
        <v>2.31</v>
      </c>
      <c r="O480" s="21">
        <v>4.29</v>
      </c>
    </row>
    <row r="481" spans="1:15" x14ac:dyDescent="0.25">
      <c r="A481" s="35">
        <v>43521</v>
      </c>
      <c r="B481" s="16">
        <v>11</v>
      </c>
      <c r="C481" s="16" t="s">
        <v>71</v>
      </c>
      <c r="D481" s="21">
        <v>35</v>
      </c>
      <c r="E481" s="21">
        <v>7</v>
      </c>
      <c r="F481" s="21">
        <v>19.25</v>
      </c>
      <c r="G481" s="21">
        <v>8.75</v>
      </c>
      <c r="H481" s="21">
        <v>52.5</v>
      </c>
      <c r="I481" s="21">
        <v>10.5</v>
      </c>
      <c r="J481" s="21">
        <v>5.25</v>
      </c>
      <c r="K481" s="21">
        <v>28.875000000000004</v>
      </c>
      <c r="L481" s="21">
        <v>5.25</v>
      </c>
      <c r="M481" s="21">
        <v>7.875</v>
      </c>
      <c r="N481" s="21">
        <v>3.6750000000000003</v>
      </c>
      <c r="O481" s="21">
        <v>6.8250000000000002</v>
      </c>
    </row>
    <row r="482" spans="1:15" x14ac:dyDescent="0.25">
      <c r="A482" s="35">
        <v>43521</v>
      </c>
      <c r="B482" s="16">
        <v>6</v>
      </c>
      <c r="C482" s="16" t="s">
        <v>68</v>
      </c>
      <c r="D482" s="21">
        <v>54</v>
      </c>
      <c r="E482" s="21">
        <v>10.8</v>
      </c>
      <c r="F482" s="21">
        <v>29.700000000000003</v>
      </c>
      <c r="G482" s="21">
        <v>13.5</v>
      </c>
      <c r="H482" s="21">
        <v>81</v>
      </c>
      <c r="I482" s="21">
        <v>16.2</v>
      </c>
      <c r="J482" s="21">
        <v>8.1</v>
      </c>
      <c r="K482" s="21">
        <v>44.550000000000004</v>
      </c>
      <c r="L482" s="21">
        <v>8.1</v>
      </c>
      <c r="M482" s="21">
        <v>12.15</v>
      </c>
      <c r="N482" s="21">
        <v>5.6700000000000008</v>
      </c>
      <c r="O482" s="21">
        <v>10.530000000000001</v>
      </c>
    </row>
    <row r="483" spans="1:15" x14ac:dyDescent="0.25">
      <c r="A483" s="35">
        <v>43525</v>
      </c>
      <c r="B483" s="16">
        <v>15</v>
      </c>
      <c r="C483" s="16" t="s">
        <v>75</v>
      </c>
      <c r="D483" s="21">
        <v>65</v>
      </c>
      <c r="E483" s="21">
        <v>13</v>
      </c>
      <c r="F483" s="21">
        <v>35.75</v>
      </c>
      <c r="G483" s="21">
        <v>16.25</v>
      </c>
      <c r="H483" s="21">
        <v>97.5</v>
      </c>
      <c r="I483" s="21">
        <v>19.5</v>
      </c>
      <c r="J483" s="21">
        <v>9.75</v>
      </c>
      <c r="K483" s="21">
        <v>53.625000000000007</v>
      </c>
      <c r="L483" s="21">
        <v>9.75</v>
      </c>
      <c r="M483" s="21">
        <v>14.625</v>
      </c>
      <c r="N483" s="21">
        <v>6.8250000000000011</v>
      </c>
      <c r="O483" s="21">
        <v>12.675000000000001</v>
      </c>
    </row>
    <row r="484" spans="1:15" x14ac:dyDescent="0.25">
      <c r="A484" s="35">
        <v>43525</v>
      </c>
      <c r="B484" s="16">
        <v>8</v>
      </c>
      <c r="C484" s="16" t="s">
        <v>4</v>
      </c>
      <c r="D484" s="21">
        <v>60</v>
      </c>
      <c r="E484" s="21">
        <v>12</v>
      </c>
      <c r="F484" s="21">
        <v>33</v>
      </c>
      <c r="G484" s="21">
        <v>15</v>
      </c>
      <c r="H484" s="21">
        <v>90</v>
      </c>
      <c r="I484" s="21">
        <v>18</v>
      </c>
      <c r="J484" s="21">
        <v>9</v>
      </c>
      <c r="K484" s="21">
        <v>49.500000000000007</v>
      </c>
      <c r="L484" s="21">
        <v>9</v>
      </c>
      <c r="M484" s="21">
        <v>13.5</v>
      </c>
      <c r="N484" s="21">
        <v>6.3000000000000007</v>
      </c>
      <c r="O484" s="21">
        <v>11.700000000000001</v>
      </c>
    </row>
    <row r="485" spans="1:15" x14ac:dyDescent="0.25">
      <c r="A485" s="35">
        <v>43525</v>
      </c>
      <c r="B485" s="16">
        <v>7</v>
      </c>
      <c r="C485" s="16" t="s">
        <v>69</v>
      </c>
      <c r="D485" s="21">
        <v>50</v>
      </c>
      <c r="E485" s="21">
        <v>10</v>
      </c>
      <c r="F485" s="21">
        <v>27.500000000000004</v>
      </c>
      <c r="G485" s="21">
        <v>12.5</v>
      </c>
      <c r="H485" s="21">
        <v>75</v>
      </c>
      <c r="I485" s="21">
        <v>15</v>
      </c>
      <c r="J485" s="21">
        <v>7.5</v>
      </c>
      <c r="K485" s="21">
        <v>41.25</v>
      </c>
      <c r="L485" s="21">
        <v>7.5</v>
      </c>
      <c r="M485" s="21">
        <v>11.25</v>
      </c>
      <c r="N485" s="21">
        <v>5.2500000000000009</v>
      </c>
      <c r="O485" s="21">
        <v>9.75</v>
      </c>
    </row>
    <row r="486" spans="1:15" x14ac:dyDescent="0.25">
      <c r="A486" s="35">
        <v>43525</v>
      </c>
      <c r="B486" s="16">
        <v>10</v>
      </c>
      <c r="C486" s="16" t="s">
        <v>5</v>
      </c>
      <c r="D486" s="21">
        <v>40</v>
      </c>
      <c r="E486" s="21">
        <v>8</v>
      </c>
      <c r="F486" s="21">
        <v>22</v>
      </c>
      <c r="G486" s="21">
        <v>10</v>
      </c>
      <c r="H486" s="21">
        <v>60</v>
      </c>
      <c r="I486" s="21">
        <v>12</v>
      </c>
      <c r="J486" s="21">
        <v>6</v>
      </c>
      <c r="K486" s="21">
        <v>33</v>
      </c>
      <c r="L486" s="21">
        <v>6</v>
      </c>
      <c r="M486" s="21">
        <v>9</v>
      </c>
      <c r="N486" s="21">
        <v>4.2</v>
      </c>
      <c r="O486" s="21">
        <v>7.8000000000000007</v>
      </c>
    </row>
    <row r="487" spans="1:15" x14ac:dyDescent="0.25">
      <c r="A487" s="35">
        <v>43522</v>
      </c>
      <c r="B487" s="16">
        <v>21</v>
      </c>
      <c r="C487" s="16" t="s">
        <v>81</v>
      </c>
      <c r="D487" s="21">
        <v>60</v>
      </c>
      <c r="E487" s="21">
        <v>12</v>
      </c>
      <c r="F487" s="21">
        <v>33</v>
      </c>
      <c r="G487" s="21">
        <v>15</v>
      </c>
      <c r="H487" s="21">
        <v>90</v>
      </c>
      <c r="I487" s="21">
        <v>18</v>
      </c>
      <c r="J487" s="21">
        <v>9</v>
      </c>
      <c r="K487" s="21">
        <v>49.500000000000007</v>
      </c>
      <c r="L487" s="21">
        <v>9</v>
      </c>
      <c r="M487" s="21">
        <v>13.5</v>
      </c>
      <c r="N487" s="21">
        <v>6.3000000000000007</v>
      </c>
      <c r="O487" s="21">
        <v>11.700000000000001</v>
      </c>
    </row>
    <row r="488" spans="1:15" x14ac:dyDescent="0.25">
      <c r="A488" s="35">
        <v>43523</v>
      </c>
      <c r="B488" s="16">
        <v>14</v>
      </c>
      <c r="C488" s="16" t="s">
        <v>74</v>
      </c>
      <c r="D488" s="21">
        <v>30</v>
      </c>
      <c r="E488" s="21">
        <v>6</v>
      </c>
      <c r="F488" s="21">
        <v>16.5</v>
      </c>
      <c r="G488" s="21">
        <v>7.5</v>
      </c>
      <c r="H488" s="21">
        <v>45</v>
      </c>
      <c r="I488" s="21">
        <v>9</v>
      </c>
      <c r="J488" s="21">
        <v>4.5</v>
      </c>
      <c r="K488" s="21">
        <v>24.750000000000004</v>
      </c>
      <c r="L488" s="21">
        <v>4.5</v>
      </c>
      <c r="M488" s="21">
        <v>6.75</v>
      </c>
      <c r="N488" s="21">
        <v>3.1500000000000004</v>
      </c>
      <c r="O488" s="21">
        <v>5.8500000000000005</v>
      </c>
    </row>
    <row r="489" spans="1:15" x14ac:dyDescent="0.25">
      <c r="A489" s="35">
        <v>43528</v>
      </c>
      <c r="B489" s="16">
        <v>5</v>
      </c>
      <c r="C489" s="16" t="s">
        <v>6</v>
      </c>
      <c r="D489" s="21">
        <v>32</v>
      </c>
      <c r="E489" s="21">
        <v>6.4</v>
      </c>
      <c r="F489" s="21">
        <v>17.600000000000001</v>
      </c>
      <c r="G489" s="21">
        <v>8</v>
      </c>
      <c r="H489" s="21">
        <v>48</v>
      </c>
      <c r="I489" s="21">
        <v>9.6</v>
      </c>
      <c r="J489" s="21">
        <v>4.8</v>
      </c>
      <c r="K489" s="21">
        <v>26.400000000000002</v>
      </c>
      <c r="L489" s="21">
        <v>4.8000000000000007</v>
      </c>
      <c r="M489" s="21">
        <v>7.1999999999999993</v>
      </c>
      <c r="N489" s="21">
        <v>3.3600000000000003</v>
      </c>
      <c r="O489" s="21">
        <v>6.24</v>
      </c>
    </row>
    <row r="490" spans="1:15" x14ac:dyDescent="0.25">
      <c r="A490" s="35">
        <v>43529</v>
      </c>
      <c r="B490" s="16">
        <v>12</v>
      </c>
      <c r="C490" s="16" t="s">
        <v>72</v>
      </c>
      <c r="D490" s="21">
        <v>32</v>
      </c>
      <c r="E490" s="21">
        <v>6.4</v>
      </c>
      <c r="F490" s="21">
        <v>17.600000000000001</v>
      </c>
      <c r="G490" s="21">
        <v>8</v>
      </c>
      <c r="H490" s="21">
        <v>48</v>
      </c>
      <c r="I490" s="21">
        <v>9.6</v>
      </c>
      <c r="J490" s="21">
        <v>4.8</v>
      </c>
      <c r="K490" s="21">
        <v>26.400000000000002</v>
      </c>
      <c r="L490" s="21">
        <v>4.8000000000000007</v>
      </c>
      <c r="M490" s="21">
        <v>7.1999999999999993</v>
      </c>
      <c r="N490" s="21">
        <v>3.3600000000000003</v>
      </c>
      <c r="O490" s="21">
        <v>6.24</v>
      </c>
    </row>
    <row r="491" spans="1:15" x14ac:dyDescent="0.25">
      <c r="A491" s="35">
        <v>43524</v>
      </c>
      <c r="B491" s="16">
        <v>19</v>
      </c>
      <c r="C491" s="16" t="s">
        <v>79</v>
      </c>
      <c r="D491" s="21">
        <v>65</v>
      </c>
      <c r="E491" s="21">
        <v>13</v>
      </c>
      <c r="F491" s="21">
        <v>35.75</v>
      </c>
      <c r="G491" s="21">
        <v>16.25</v>
      </c>
      <c r="H491" s="21">
        <v>97.5</v>
      </c>
      <c r="I491" s="21">
        <v>19.5</v>
      </c>
      <c r="J491" s="21">
        <v>9.75</v>
      </c>
      <c r="K491" s="21">
        <v>53.625000000000007</v>
      </c>
      <c r="L491" s="21">
        <v>9.75</v>
      </c>
      <c r="M491" s="21">
        <v>14.625</v>
      </c>
      <c r="N491" s="21">
        <v>6.8250000000000011</v>
      </c>
      <c r="O491" s="21">
        <v>12.675000000000001</v>
      </c>
    </row>
    <row r="492" spans="1:15" x14ac:dyDescent="0.25">
      <c r="A492" s="35">
        <v>43530</v>
      </c>
      <c r="B492" s="16">
        <v>17</v>
      </c>
      <c r="C492" s="16" t="s">
        <v>77</v>
      </c>
      <c r="D492" s="21">
        <v>65</v>
      </c>
      <c r="E492" s="21">
        <v>13</v>
      </c>
      <c r="F492" s="21">
        <v>35.75</v>
      </c>
      <c r="G492" s="21">
        <v>16.25</v>
      </c>
      <c r="H492" s="21">
        <v>97.5</v>
      </c>
      <c r="I492" s="21">
        <v>19.5</v>
      </c>
      <c r="J492" s="21">
        <v>9.75</v>
      </c>
      <c r="K492" s="21">
        <v>53.625000000000007</v>
      </c>
      <c r="L492" s="21">
        <v>9.75</v>
      </c>
      <c r="M492" s="21">
        <v>14.625</v>
      </c>
      <c r="N492" s="21">
        <v>6.8250000000000011</v>
      </c>
      <c r="O492" s="21">
        <v>12.675000000000001</v>
      </c>
    </row>
    <row r="493" spans="1:15" x14ac:dyDescent="0.25">
      <c r="A493" s="35">
        <v>43531</v>
      </c>
      <c r="B493" s="16">
        <v>13</v>
      </c>
      <c r="C493" s="16" t="s">
        <v>73</v>
      </c>
      <c r="D493" s="21">
        <v>45</v>
      </c>
      <c r="E493" s="21">
        <v>9</v>
      </c>
      <c r="F493" s="21">
        <v>24.750000000000004</v>
      </c>
      <c r="G493" s="21">
        <v>11.25</v>
      </c>
      <c r="H493" s="21">
        <v>67.5</v>
      </c>
      <c r="I493" s="21">
        <v>13.5</v>
      </c>
      <c r="J493" s="21">
        <v>6.75</v>
      </c>
      <c r="K493" s="21">
        <v>37.125</v>
      </c>
      <c r="L493" s="21">
        <v>6.75</v>
      </c>
      <c r="M493" s="21">
        <v>10.125</v>
      </c>
      <c r="N493" s="21">
        <v>4.7250000000000005</v>
      </c>
      <c r="O493" s="21">
        <v>8.7750000000000004</v>
      </c>
    </row>
    <row r="494" spans="1:15" x14ac:dyDescent="0.25">
      <c r="A494" s="35">
        <v>43532</v>
      </c>
      <c r="B494" s="16">
        <v>20</v>
      </c>
      <c r="C494" s="16" t="s">
        <v>80</v>
      </c>
      <c r="D494" s="21">
        <v>25</v>
      </c>
      <c r="E494" s="21">
        <v>5</v>
      </c>
      <c r="F494" s="21">
        <v>13.750000000000002</v>
      </c>
      <c r="G494" s="21">
        <v>6.25</v>
      </c>
      <c r="H494" s="21">
        <v>37.5</v>
      </c>
      <c r="I494" s="21">
        <v>7.5</v>
      </c>
      <c r="J494" s="21">
        <v>3.75</v>
      </c>
      <c r="K494" s="21">
        <v>20.625</v>
      </c>
      <c r="L494" s="21">
        <v>3.75</v>
      </c>
      <c r="M494" s="21">
        <v>5.625</v>
      </c>
      <c r="N494" s="21">
        <v>2.6250000000000004</v>
      </c>
      <c r="O494" s="21">
        <v>4.875</v>
      </c>
    </row>
    <row r="495" spans="1:15" x14ac:dyDescent="0.25">
      <c r="A495" s="35">
        <v>43525</v>
      </c>
      <c r="B495" s="16">
        <v>11</v>
      </c>
      <c r="C495" s="16" t="s">
        <v>71</v>
      </c>
      <c r="D495" s="21">
        <v>36</v>
      </c>
      <c r="E495" s="21">
        <v>7.2</v>
      </c>
      <c r="F495" s="21">
        <v>19.8</v>
      </c>
      <c r="G495" s="21">
        <v>9</v>
      </c>
      <c r="H495" s="21">
        <v>54</v>
      </c>
      <c r="I495" s="21">
        <v>10.799999999999999</v>
      </c>
      <c r="J495" s="21">
        <v>5.3999999999999995</v>
      </c>
      <c r="K495" s="21">
        <v>29.700000000000003</v>
      </c>
      <c r="L495" s="21">
        <v>5.4</v>
      </c>
      <c r="M495" s="21">
        <v>8.1</v>
      </c>
      <c r="N495" s="21">
        <v>3.7800000000000002</v>
      </c>
      <c r="O495" s="21">
        <v>7.0200000000000005</v>
      </c>
    </row>
    <row r="496" spans="1:15" x14ac:dyDescent="0.25">
      <c r="A496" s="35">
        <v>43525</v>
      </c>
      <c r="B496" s="16">
        <v>6</v>
      </c>
      <c r="C496" s="16" t="s">
        <v>68</v>
      </c>
      <c r="D496" s="21">
        <v>63</v>
      </c>
      <c r="E496" s="21">
        <v>12.600000000000001</v>
      </c>
      <c r="F496" s="21">
        <v>34.650000000000006</v>
      </c>
      <c r="G496" s="21">
        <v>15.75</v>
      </c>
      <c r="H496" s="21">
        <v>94.5</v>
      </c>
      <c r="I496" s="21">
        <v>18.899999999999999</v>
      </c>
      <c r="J496" s="21">
        <v>9.4499999999999993</v>
      </c>
      <c r="K496" s="21">
        <v>51.975000000000001</v>
      </c>
      <c r="L496" s="21">
        <v>9.4500000000000011</v>
      </c>
      <c r="M496" s="21">
        <v>14.174999999999999</v>
      </c>
      <c r="N496" s="21">
        <v>6.6150000000000002</v>
      </c>
      <c r="O496" s="21">
        <v>12.285</v>
      </c>
    </row>
    <row r="497" spans="1:15" x14ac:dyDescent="0.25">
      <c r="A497" s="35">
        <v>43525</v>
      </c>
      <c r="B497" s="16">
        <v>15</v>
      </c>
      <c r="C497" s="16" t="s">
        <v>75</v>
      </c>
      <c r="D497" s="21">
        <v>52</v>
      </c>
      <c r="E497" s="21">
        <v>10.4</v>
      </c>
      <c r="F497" s="21">
        <v>28.6</v>
      </c>
      <c r="G497" s="21">
        <v>13</v>
      </c>
      <c r="H497" s="21">
        <v>78</v>
      </c>
      <c r="I497" s="21">
        <v>15.6</v>
      </c>
      <c r="J497" s="21">
        <v>7.8</v>
      </c>
      <c r="K497" s="21">
        <v>42.900000000000006</v>
      </c>
      <c r="L497" s="21">
        <v>7.8000000000000007</v>
      </c>
      <c r="M497" s="21">
        <v>11.7</v>
      </c>
      <c r="N497" s="21">
        <v>5.4600000000000009</v>
      </c>
      <c r="O497" s="21">
        <v>10.14</v>
      </c>
    </row>
    <row r="498" spans="1:15" x14ac:dyDescent="0.25">
      <c r="A498" s="35">
        <v>43527</v>
      </c>
      <c r="B498" s="16">
        <v>8</v>
      </c>
      <c r="C498" s="16" t="s">
        <v>4</v>
      </c>
      <c r="D498" s="21">
        <v>45</v>
      </c>
      <c r="E498" s="21">
        <v>9</v>
      </c>
      <c r="F498" s="21">
        <v>24.750000000000004</v>
      </c>
      <c r="G498" s="21">
        <v>11.25</v>
      </c>
      <c r="H498" s="21">
        <v>67.5</v>
      </c>
      <c r="I498" s="21">
        <v>13.5</v>
      </c>
      <c r="J498" s="21">
        <v>6.75</v>
      </c>
      <c r="K498" s="21">
        <v>37.125</v>
      </c>
      <c r="L498" s="21">
        <v>6.75</v>
      </c>
      <c r="M498" s="21">
        <v>10.125</v>
      </c>
      <c r="N498" s="21">
        <v>4.7250000000000005</v>
      </c>
      <c r="O498" s="21">
        <v>8.7750000000000004</v>
      </c>
    </row>
    <row r="499" spans="1:15" x14ac:dyDescent="0.25">
      <c r="A499" s="35">
        <v>43528</v>
      </c>
      <c r="B499" s="16">
        <v>7</v>
      </c>
      <c r="C499" s="16" t="s">
        <v>69</v>
      </c>
      <c r="D499" s="21">
        <v>65</v>
      </c>
      <c r="E499" s="21">
        <v>13</v>
      </c>
      <c r="F499" s="21">
        <v>35.75</v>
      </c>
      <c r="G499" s="21">
        <v>16.25</v>
      </c>
      <c r="H499" s="21">
        <v>97.5</v>
      </c>
      <c r="I499" s="21">
        <v>19.5</v>
      </c>
      <c r="J499" s="21">
        <v>9.75</v>
      </c>
      <c r="K499" s="21">
        <v>53.625000000000007</v>
      </c>
      <c r="L499" s="21">
        <v>9.75</v>
      </c>
      <c r="M499" s="21">
        <v>14.625</v>
      </c>
      <c r="N499" s="21">
        <v>6.8250000000000011</v>
      </c>
      <c r="O499" s="21">
        <v>12.675000000000001</v>
      </c>
    </row>
    <row r="500" spans="1:15" x14ac:dyDescent="0.25">
      <c r="A500" s="35">
        <v>43528</v>
      </c>
      <c r="B500" s="16">
        <v>10</v>
      </c>
      <c r="C500" s="16" t="s">
        <v>5</v>
      </c>
      <c r="D500" s="21">
        <v>56</v>
      </c>
      <c r="E500" s="21">
        <v>11.200000000000001</v>
      </c>
      <c r="F500" s="21">
        <v>30.800000000000004</v>
      </c>
      <c r="G500" s="21">
        <v>14</v>
      </c>
      <c r="H500" s="21">
        <v>84</v>
      </c>
      <c r="I500" s="21">
        <v>16.8</v>
      </c>
      <c r="J500" s="21">
        <v>8.4</v>
      </c>
      <c r="K500" s="21">
        <v>46.2</v>
      </c>
      <c r="L500" s="21">
        <v>8.4</v>
      </c>
      <c r="M500" s="21">
        <v>12.6</v>
      </c>
      <c r="N500" s="21">
        <v>5.8800000000000008</v>
      </c>
      <c r="O500" s="21">
        <v>10.92</v>
      </c>
    </row>
    <row r="501" spans="1:15" x14ac:dyDescent="0.25">
      <c r="A501" s="35">
        <v>43537</v>
      </c>
      <c r="B501" s="16">
        <v>21</v>
      </c>
      <c r="C501" s="16" t="s">
        <v>81</v>
      </c>
      <c r="D501" s="21">
        <v>65</v>
      </c>
      <c r="E501" s="21">
        <v>13</v>
      </c>
      <c r="F501" s="21">
        <v>35.75</v>
      </c>
      <c r="G501" s="21">
        <v>16.25</v>
      </c>
      <c r="H501" s="21">
        <v>97.5</v>
      </c>
      <c r="I501" s="21">
        <v>19.5</v>
      </c>
      <c r="J501" s="21">
        <v>9.75</v>
      </c>
      <c r="K501" s="21">
        <v>53.625000000000007</v>
      </c>
      <c r="L501" s="21">
        <v>9.75</v>
      </c>
      <c r="M501" s="21">
        <v>14.625</v>
      </c>
      <c r="N501" s="21">
        <v>6.8250000000000011</v>
      </c>
      <c r="O501" s="21">
        <v>12.675000000000001</v>
      </c>
    </row>
    <row r="502" spans="1:15" x14ac:dyDescent="0.25">
      <c r="A502" s="35">
        <v>43537</v>
      </c>
      <c r="B502" s="16">
        <v>14</v>
      </c>
      <c r="C502" s="16" t="s">
        <v>74</v>
      </c>
      <c r="D502" s="21">
        <v>15</v>
      </c>
      <c r="E502" s="21">
        <v>3</v>
      </c>
      <c r="F502" s="21">
        <v>8.25</v>
      </c>
      <c r="G502" s="21">
        <v>3.75</v>
      </c>
      <c r="H502" s="21">
        <v>22.5</v>
      </c>
      <c r="I502" s="21">
        <v>4.5</v>
      </c>
      <c r="J502" s="21">
        <v>2.25</v>
      </c>
      <c r="K502" s="21">
        <v>12.375000000000002</v>
      </c>
      <c r="L502" s="21">
        <v>2.25</v>
      </c>
      <c r="M502" s="21">
        <v>3.375</v>
      </c>
      <c r="N502" s="21">
        <v>1.5750000000000002</v>
      </c>
      <c r="O502" s="21">
        <v>2.9250000000000003</v>
      </c>
    </row>
    <row r="503" spans="1:15" x14ac:dyDescent="0.25">
      <c r="A503" s="35">
        <v>43538</v>
      </c>
      <c r="B503" s="16">
        <v>5</v>
      </c>
      <c r="C503" s="16" t="s">
        <v>6</v>
      </c>
      <c r="D503" s="21">
        <v>28</v>
      </c>
      <c r="E503" s="21">
        <v>5.6000000000000005</v>
      </c>
      <c r="F503" s="21">
        <v>15.400000000000002</v>
      </c>
      <c r="G503" s="21">
        <v>7</v>
      </c>
      <c r="H503" s="21">
        <v>42</v>
      </c>
      <c r="I503" s="21">
        <v>8.4</v>
      </c>
      <c r="J503" s="21">
        <v>4.2</v>
      </c>
      <c r="K503" s="21">
        <v>23.1</v>
      </c>
      <c r="L503" s="21">
        <v>4.2</v>
      </c>
      <c r="M503" s="21">
        <v>6.3</v>
      </c>
      <c r="N503" s="21">
        <v>2.9400000000000004</v>
      </c>
      <c r="O503" s="21">
        <v>5.46</v>
      </c>
    </row>
    <row r="504" spans="1:15" x14ac:dyDescent="0.25">
      <c r="A504" s="35">
        <v>43538</v>
      </c>
      <c r="B504" s="16">
        <v>12</v>
      </c>
      <c r="C504" s="16" t="s">
        <v>72</v>
      </c>
      <c r="D504" s="21">
        <v>14</v>
      </c>
      <c r="E504" s="21">
        <v>2.8000000000000003</v>
      </c>
      <c r="F504" s="21">
        <v>7.7000000000000011</v>
      </c>
      <c r="G504" s="21">
        <v>3.5</v>
      </c>
      <c r="H504" s="21">
        <v>21</v>
      </c>
      <c r="I504" s="21">
        <v>4.2</v>
      </c>
      <c r="J504" s="21">
        <v>2.1</v>
      </c>
      <c r="K504" s="21">
        <v>11.55</v>
      </c>
      <c r="L504" s="21">
        <v>2.1</v>
      </c>
      <c r="M504" s="21">
        <v>3.15</v>
      </c>
      <c r="N504" s="21">
        <v>1.4700000000000002</v>
      </c>
      <c r="O504" s="21">
        <v>2.73</v>
      </c>
    </row>
    <row r="505" spans="1:15" x14ac:dyDescent="0.25">
      <c r="A505" s="35">
        <v>43538</v>
      </c>
      <c r="B505" s="16">
        <v>19</v>
      </c>
      <c r="C505" s="16" t="s">
        <v>79</v>
      </c>
      <c r="D505" s="21">
        <v>12</v>
      </c>
      <c r="E505" s="21">
        <v>2.4000000000000004</v>
      </c>
      <c r="F505" s="21">
        <v>6.6000000000000005</v>
      </c>
      <c r="G505" s="21">
        <v>3</v>
      </c>
      <c r="H505" s="21">
        <v>18</v>
      </c>
      <c r="I505" s="21">
        <v>3.5999999999999996</v>
      </c>
      <c r="J505" s="21">
        <v>1.7999999999999998</v>
      </c>
      <c r="K505" s="21">
        <v>9.9</v>
      </c>
      <c r="L505" s="21">
        <v>1.8</v>
      </c>
      <c r="M505" s="21">
        <v>2.6999999999999997</v>
      </c>
      <c r="N505" s="21">
        <v>1.2600000000000002</v>
      </c>
      <c r="O505" s="21">
        <v>2.34</v>
      </c>
    </row>
    <row r="506" spans="1:15" x14ac:dyDescent="0.25">
      <c r="A506" s="35">
        <v>43539</v>
      </c>
      <c r="B506" s="16">
        <v>17</v>
      </c>
      <c r="C506" s="16" t="s">
        <v>77</v>
      </c>
      <c r="D506" s="21">
        <v>65</v>
      </c>
      <c r="E506" s="21">
        <v>13</v>
      </c>
      <c r="F506" s="21">
        <v>35.75</v>
      </c>
      <c r="G506" s="21">
        <v>16.25</v>
      </c>
      <c r="H506" s="21">
        <v>97.5</v>
      </c>
      <c r="I506" s="21">
        <v>19.5</v>
      </c>
      <c r="J506" s="21">
        <v>9.75</v>
      </c>
      <c r="K506" s="21">
        <v>53.625000000000007</v>
      </c>
      <c r="L506" s="21">
        <v>9.75</v>
      </c>
      <c r="M506" s="21">
        <v>14.625</v>
      </c>
      <c r="N506" s="21">
        <v>6.8250000000000011</v>
      </c>
      <c r="O506" s="21">
        <v>12.675000000000001</v>
      </c>
    </row>
    <row r="507" spans="1:15" x14ac:dyDescent="0.25">
      <c r="A507" s="35">
        <v>43539</v>
      </c>
      <c r="B507" s="16">
        <v>13</v>
      </c>
      <c r="C507" s="16" t="s">
        <v>73</v>
      </c>
      <c r="D507" s="21">
        <v>98</v>
      </c>
      <c r="E507" s="21">
        <v>19.600000000000001</v>
      </c>
      <c r="F507" s="21">
        <v>53.900000000000006</v>
      </c>
      <c r="G507" s="21">
        <v>24.5</v>
      </c>
      <c r="H507" s="21">
        <v>147</v>
      </c>
      <c r="I507" s="21">
        <v>29.4</v>
      </c>
      <c r="J507" s="21">
        <v>14.7</v>
      </c>
      <c r="K507" s="21">
        <v>80.850000000000009</v>
      </c>
      <c r="L507" s="21">
        <v>14.700000000000001</v>
      </c>
      <c r="M507" s="21">
        <v>22.05</v>
      </c>
      <c r="N507" s="21">
        <v>10.290000000000001</v>
      </c>
      <c r="O507" s="21">
        <v>19.11</v>
      </c>
    </row>
    <row r="508" spans="1:15" x14ac:dyDescent="0.25">
      <c r="A508" s="35">
        <v>43540</v>
      </c>
      <c r="B508" s="16">
        <v>20</v>
      </c>
      <c r="C508" s="16" t="s">
        <v>80</v>
      </c>
      <c r="D508" s="21">
        <v>56</v>
      </c>
      <c r="E508" s="21">
        <v>11.200000000000001</v>
      </c>
      <c r="F508" s="21">
        <v>30.800000000000004</v>
      </c>
      <c r="G508" s="21">
        <v>14</v>
      </c>
      <c r="H508" s="21">
        <v>84</v>
      </c>
      <c r="I508" s="21">
        <v>16.8</v>
      </c>
      <c r="J508" s="21">
        <v>8.4</v>
      </c>
      <c r="K508" s="21">
        <v>46.2</v>
      </c>
      <c r="L508" s="21">
        <v>8.4</v>
      </c>
      <c r="M508" s="21">
        <v>12.6</v>
      </c>
      <c r="N508" s="21">
        <v>5.8800000000000008</v>
      </c>
      <c r="O508" s="21">
        <v>10.92</v>
      </c>
    </row>
    <row r="509" spans="1:15" x14ac:dyDescent="0.25">
      <c r="A509" s="35">
        <v>43542</v>
      </c>
      <c r="B509" s="16">
        <v>11</v>
      </c>
      <c r="C509" s="16" t="s">
        <v>71</v>
      </c>
      <c r="D509" s="21">
        <v>55</v>
      </c>
      <c r="E509" s="21">
        <v>11</v>
      </c>
      <c r="F509" s="21">
        <v>30.250000000000004</v>
      </c>
      <c r="G509" s="21">
        <v>13.75</v>
      </c>
      <c r="H509" s="21">
        <v>82.5</v>
      </c>
      <c r="I509" s="21">
        <v>16.5</v>
      </c>
      <c r="J509" s="21">
        <v>8.25</v>
      </c>
      <c r="K509" s="21">
        <v>45.375000000000007</v>
      </c>
      <c r="L509" s="21">
        <v>8.25</v>
      </c>
      <c r="M509" s="21">
        <v>12.375</v>
      </c>
      <c r="N509" s="21">
        <v>5.7750000000000004</v>
      </c>
      <c r="O509" s="21">
        <v>10.725</v>
      </c>
    </row>
    <row r="510" spans="1:15" x14ac:dyDescent="0.25">
      <c r="A510" s="35">
        <v>43542</v>
      </c>
      <c r="B510" s="16">
        <v>2</v>
      </c>
      <c r="C510" s="16" t="s">
        <v>65</v>
      </c>
      <c r="D510" s="21">
        <v>44</v>
      </c>
      <c r="E510" s="21">
        <v>8.8000000000000007</v>
      </c>
      <c r="F510" s="21">
        <v>24.200000000000003</v>
      </c>
      <c r="G510" s="21">
        <v>11</v>
      </c>
      <c r="H510" s="21">
        <v>66</v>
      </c>
      <c r="I510" s="21">
        <v>13.2</v>
      </c>
      <c r="J510" s="21">
        <v>6.6</v>
      </c>
      <c r="K510" s="21">
        <v>36.300000000000004</v>
      </c>
      <c r="L510" s="21">
        <v>6.6000000000000005</v>
      </c>
      <c r="M510" s="21">
        <v>9.9</v>
      </c>
      <c r="N510" s="21">
        <v>4.62</v>
      </c>
      <c r="O510" s="21">
        <v>8.58</v>
      </c>
    </row>
    <row r="511" spans="1:15" x14ac:dyDescent="0.25">
      <c r="A511" s="35">
        <v>43542</v>
      </c>
      <c r="B511" s="16">
        <v>1</v>
      </c>
      <c r="C511" s="16" t="s">
        <v>3</v>
      </c>
      <c r="D511" s="21">
        <v>10</v>
      </c>
      <c r="E511" s="21">
        <v>2</v>
      </c>
      <c r="F511" s="21">
        <v>5.5</v>
      </c>
      <c r="G511" s="21">
        <v>2.5</v>
      </c>
      <c r="H511" s="21">
        <v>15</v>
      </c>
      <c r="I511" s="21">
        <v>3</v>
      </c>
      <c r="J511" s="21">
        <v>1.5</v>
      </c>
      <c r="K511" s="21">
        <v>8.25</v>
      </c>
      <c r="L511" s="21">
        <v>1.5</v>
      </c>
      <c r="M511" s="21">
        <v>2.25</v>
      </c>
      <c r="N511" s="21">
        <v>1.05</v>
      </c>
      <c r="O511" s="21">
        <v>1.9500000000000002</v>
      </c>
    </row>
    <row r="512" spans="1:15" x14ac:dyDescent="0.25">
      <c r="A512" s="35">
        <v>43542</v>
      </c>
      <c r="B512" s="16">
        <v>18</v>
      </c>
      <c r="C512" s="16" t="s">
        <v>78</v>
      </c>
      <c r="D512" s="21">
        <v>60</v>
      </c>
      <c r="E512" s="21">
        <v>12</v>
      </c>
      <c r="F512" s="21">
        <v>33</v>
      </c>
      <c r="G512" s="21">
        <v>15</v>
      </c>
      <c r="H512" s="21">
        <v>90</v>
      </c>
      <c r="I512" s="21">
        <v>18</v>
      </c>
      <c r="J512" s="21">
        <v>9</v>
      </c>
      <c r="K512" s="21">
        <v>49.500000000000007</v>
      </c>
      <c r="L512" s="21">
        <v>9</v>
      </c>
      <c r="M512" s="21">
        <v>13.5</v>
      </c>
      <c r="N512" s="21">
        <v>6.3000000000000007</v>
      </c>
      <c r="O512" s="21">
        <v>11.700000000000001</v>
      </c>
    </row>
    <row r="513" spans="1:15" x14ac:dyDescent="0.25">
      <c r="A513" s="35">
        <v>43542</v>
      </c>
      <c r="B513" s="16">
        <v>9</v>
      </c>
      <c r="C513" s="16" t="s">
        <v>70</v>
      </c>
      <c r="D513" s="21">
        <v>80</v>
      </c>
      <c r="E513" s="21">
        <v>16</v>
      </c>
      <c r="F513" s="21">
        <v>44</v>
      </c>
      <c r="G513" s="21">
        <v>20</v>
      </c>
      <c r="H513" s="21">
        <v>120</v>
      </c>
      <c r="I513" s="21">
        <v>24</v>
      </c>
      <c r="J513" s="21">
        <v>12</v>
      </c>
      <c r="K513" s="21">
        <v>66</v>
      </c>
      <c r="L513" s="21">
        <v>12</v>
      </c>
      <c r="M513" s="21">
        <v>18</v>
      </c>
      <c r="N513" s="21">
        <v>8.4</v>
      </c>
      <c r="O513" s="21">
        <v>15.600000000000001</v>
      </c>
    </row>
    <row r="514" spans="1:15" x14ac:dyDescent="0.25">
      <c r="A514" s="35">
        <v>43543</v>
      </c>
      <c r="B514" s="16">
        <v>6</v>
      </c>
      <c r="C514" s="16" t="s">
        <v>68</v>
      </c>
      <c r="D514" s="21">
        <v>99</v>
      </c>
      <c r="E514" s="21">
        <v>19.8</v>
      </c>
      <c r="F514" s="21">
        <v>54.45</v>
      </c>
      <c r="G514" s="21">
        <v>24.75</v>
      </c>
      <c r="H514" s="21">
        <v>148.5</v>
      </c>
      <c r="I514" s="21">
        <v>29.7</v>
      </c>
      <c r="J514" s="21">
        <v>14.85</v>
      </c>
      <c r="K514" s="21">
        <v>81.675000000000011</v>
      </c>
      <c r="L514" s="21">
        <v>14.850000000000001</v>
      </c>
      <c r="M514" s="21">
        <v>22.274999999999999</v>
      </c>
      <c r="N514" s="21">
        <v>10.395000000000001</v>
      </c>
      <c r="O514" s="21">
        <v>19.305</v>
      </c>
    </row>
    <row r="515" spans="1:15" x14ac:dyDescent="0.25">
      <c r="A515" s="35">
        <v>43543</v>
      </c>
      <c r="B515" s="16">
        <v>15</v>
      </c>
      <c r="C515" s="16" t="s">
        <v>75</v>
      </c>
      <c r="D515" s="21">
        <v>80</v>
      </c>
      <c r="E515" s="21">
        <v>16</v>
      </c>
      <c r="F515" s="21">
        <v>44</v>
      </c>
      <c r="G515" s="21">
        <v>20</v>
      </c>
      <c r="H515" s="21">
        <v>120</v>
      </c>
      <c r="I515" s="21">
        <v>24</v>
      </c>
      <c r="J515" s="21">
        <v>12</v>
      </c>
      <c r="K515" s="21">
        <v>66</v>
      </c>
      <c r="L515" s="21">
        <v>12</v>
      </c>
      <c r="M515" s="21">
        <v>18</v>
      </c>
      <c r="N515" s="21">
        <v>8.4</v>
      </c>
      <c r="O515" s="21">
        <v>15.600000000000001</v>
      </c>
    </row>
    <row r="516" spans="1:15" x14ac:dyDescent="0.25">
      <c r="A516" s="35">
        <v>43543</v>
      </c>
      <c r="B516" s="16">
        <v>8</v>
      </c>
      <c r="C516" s="16" t="s">
        <v>4</v>
      </c>
      <c r="D516" s="21">
        <v>45</v>
      </c>
      <c r="E516" s="21">
        <v>9</v>
      </c>
      <c r="F516" s="21">
        <v>24.750000000000004</v>
      </c>
      <c r="G516" s="21">
        <v>11.25</v>
      </c>
      <c r="H516" s="21">
        <v>67.5</v>
      </c>
      <c r="I516" s="21">
        <v>13.5</v>
      </c>
      <c r="J516" s="21">
        <v>6.75</v>
      </c>
      <c r="K516" s="21">
        <v>37.125</v>
      </c>
      <c r="L516" s="21">
        <v>6.75</v>
      </c>
      <c r="M516" s="21">
        <v>10.125</v>
      </c>
      <c r="N516" s="21">
        <v>4.7250000000000005</v>
      </c>
      <c r="O516" s="21">
        <v>8.7750000000000004</v>
      </c>
    </row>
    <row r="517" spans="1:15" x14ac:dyDescent="0.25">
      <c r="A517" s="35">
        <v>43543</v>
      </c>
      <c r="B517" s="16">
        <v>7</v>
      </c>
      <c r="C517" s="16" t="s">
        <v>69</v>
      </c>
      <c r="D517" s="21">
        <v>23</v>
      </c>
      <c r="E517" s="21">
        <v>4.6000000000000005</v>
      </c>
      <c r="F517" s="21">
        <v>12.65</v>
      </c>
      <c r="G517" s="21">
        <v>5.75</v>
      </c>
      <c r="H517" s="21">
        <v>34.5</v>
      </c>
      <c r="I517" s="21">
        <v>6.8999999999999995</v>
      </c>
      <c r="J517" s="21">
        <v>3.4499999999999997</v>
      </c>
      <c r="K517" s="21">
        <v>18.975000000000001</v>
      </c>
      <c r="L517" s="21">
        <v>3.45</v>
      </c>
      <c r="M517" s="21">
        <v>5.1749999999999998</v>
      </c>
      <c r="N517" s="21">
        <v>2.415</v>
      </c>
      <c r="O517" s="21">
        <v>4.4850000000000003</v>
      </c>
    </row>
    <row r="518" spans="1:15" x14ac:dyDescent="0.25">
      <c r="A518" s="35">
        <v>43543</v>
      </c>
      <c r="B518" s="16">
        <v>10</v>
      </c>
      <c r="C518" s="16" t="s">
        <v>5</v>
      </c>
      <c r="D518" s="21">
        <v>78</v>
      </c>
      <c r="E518" s="21">
        <v>15.600000000000001</v>
      </c>
      <c r="F518" s="21">
        <v>42.900000000000006</v>
      </c>
      <c r="G518" s="21">
        <v>19.5</v>
      </c>
      <c r="H518" s="21">
        <v>117</v>
      </c>
      <c r="I518" s="21">
        <v>23.4</v>
      </c>
      <c r="J518" s="21">
        <v>11.7</v>
      </c>
      <c r="K518" s="21">
        <v>64.350000000000009</v>
      </c>
      <c r="L518" s="21">
        <v>11.700000000000001</v>
      </c>
      <c r="M518" s="21">
        <v>17.55</v>
      </c>
      <c r="N518" s="21">
        <v>8.1900000000000013</v>
      </c>
      <c r="O518" s="21">
        <v>15.21</v>
      </c>
    </row>
    <row r="519" spans="1:15" x14ac:dyDescent="0.25">
      <c r="A519" s="35">
        <v>43544</v>
      </c>
      <c r="B519" s="16">
        <v>21</v>
      </c>
      <c r="C519" s="16" t="s">
        <v>81</v>
      </c>
      <c r="D519" s="21">
        <v>56</v>
      </c>
      <c r="E519" s="21">
        <v>11.200000000000001</v>
      </c>
      <c r="F519" s="21">
        <v>30.800000000000004</v>
      </c>
      <c r="G519" s="21">
        <v>14</v>
      </c>
      <c r="H519" s="21">
        <v>84</v>
      </c>
      <c r="I519" s="21">
        <v>16.8</v>
      </c>
      <c r="J519" s="21">
        <v>8.4</v>
      </c>
      <c r="K519" s="21">
        <v>46.2</v>
      </c>
      <c r="L519" s="21">
        <v>8.4</v>
      </c>
      <c r="M519" s="21">
        <v>12.6</v>
      </c>
      <c r="N519" s="21">
        <v>5.8800000000000008</v>
      </c>
      <c r="O519" s="21">
        <v>10.92</v>
      </c>
    </row>
    <row r="520" spans="1:15" x14ac:dyDescent="0.25">
      <c r="A520" s="35">
        <v>43529</v>
      </c>
      <c r="B520" s="16">
        <v>14</v>
      </c>
      <c r="C520" s="16" t="s">
        <v>74</v>
      </c>
      <c r="D520" s="21">
        <v>46</v>
      </c>
      <c r="E520" s="21">
        <v>9.2000000000000011</v>
      </c>
      <c r="F520" s="21">
        <v>25.3</v>
      </c>
      <c r="G520" s="21">
        <v>11.5</v>
      </c>
      <c r="H520" s="21">
        <v>69</v>
      </c>
      <c r="I520" s="21">
        <v>13.799999999999999</v>
      </c>
      <c r="J520" s="21">
        <v>6.8999999999999995</v>
      </c>
      <c r="K520" s="21">
        <v>37.950000000000003</v>
      </c>
      <c r="L520" s="21">
        <v>6.9</v>
      </c>
      <c r="M520" s="21">
        <v>10.35</v>
      </c>
      <c r="N520" s="21">
        <v>4.83</v>
      </c>
      <c r="O520" s="21">
        <v>8.9700000000000006</v>
      </c>
    </row>
    <row r="521" spans="1:15" x14ac:dyDescent="0.25">
      <c r="A521" s="35">
        <v>43544</v>
      </c>
      <c r="B521" s="16">
        <v>5</v>
      </c>
      <c r="C521" s="16" t="s">
        <v>6</v>
      </c>
      <c r="D521" s="21">
        <v>14</v>
      </c>
      <c r="E521" s="21">
        <v>2.8000000000000003</v>
      </c>
      <c r="F521" s="21">
        <v>7.7000000000000011</v>
      </c>
      <c r="G521" s="21">
        <v>3.5</v>
      </c>
      <c r="H521" s="21">
        <v>21</v>
      </c>
      <c r="I521" s="21">
        <v>4.2</v>
      </c>
      <c r="J521" s="21">
        <v>2.1</v>
      </c>
      <c r="K521" s="21">
        <v>11.55</v>
      </c>
      <c r="L521" s="21">
        <v>2.1</v>
      </c>
      <c r="M521" s="21">
        <v>3.15</v>
      </c>
      <c r="N521" s="21">
        <v>1.4700000000000002</v>
      </c>
      <c r="O521" s="21">
        <v>2.73</v>
      </c>
    </row>
    <row r="522" spans="1:15" x14ac:dyDescent="0.25">
      <c r="A522" s="35">
        <v>43544</v>
      </c>
      <c r="B522" s="16">
        <v>12</v>
      </c>
      <c r="C522" s="16" t="s">
        <v>72</v>
      </c>
      <c r="D522" s="21">
        <v>52</v>
      </c>
      <c r="E522" s="21">
        <v>10.4</v>
      </c>
      <c r="F522" s="21">
        <v>28.6</v>
      </c>
      <c r="G522" s="21">
        <v>13</v>
      </c>
      <c r="H522" s="21">
        <v>78</v>
      </c>
      <c r="I522" s="21">
        <v>15.6</v>
      </c>
      <c r="J522" s="21">
        <v>7.8</v>
      </c>
      <c r="K522" s="21">
        <v>42.900000000000006</v>
      </c>
      <c r="L522" s="21">
        <v>7.8000000000000007</v>
      </c>
      <c r="M522" s="21">
        <v>11.7</v>
      </c>
      <c r="N522" s="21">
        <v>5.4600000000000009</v>
      </c>
      <c r="O522" s="21">
        <v>10.14</v>
      </c>
    </row>
    <row r="523" spans="1:15" x14ac:dyDescent="0.25">
      <c r="A523" s="35">
        <v>43545</v>
      </c>
      <c r="B523" s="16">
        <v>19</v>
      </c>
      <c r="C523" s="16" t="s">
        <v>79</v>
      </c>
      <c r="D523" s="21">
        <v>52</v>
      </c>
      <c r="E523" s="21">
        <v>10.4</v>
      </c>
      <c r="F523" s="21">
        <v>28.6</v>
      </c>
      <c r="G523" s="21">
        <v>13</v>
      </c>
      <c r="H523" s="21">
        <v>78</v>
      </c>
      <c r="I523" s="21">
        <v>15.6</v>
      </c>
      <c r="J523" s="21">
        <v>7.8</v>
      </c>
      <c r="K523" s="21">
        <v>42.900000000000006</v>
      </c>
      <c r="L523" s="21">
        <v>7.8000000000000007</v>
      </c>
      <c r="M523" s="21">
        <v>11.7</v>
      </c>
      <c r="N523" s="21">
        <v>5.4600000000000009</v>
      </c>
      <c r="O523" s="21">
        <v>10.14</v>
      </c>
    </row>
    <row r="524" spans="1:15" x14ac:dyDescent="0.25">
      <c r="A524" s="35">
        <v>43545</v>
      </c>
      <c r="B524" s="16">
        <v>17</v>
      </c>
      <c r="C524" s="16" t="s">
        <v>77</v>
      </c>
      <c r="D524" s="21">
        <v>63</v>
      </c>
      <c r="E524" s="21">
        <v>12.600000000000001</v>
      </c>
      <c r="F524" s="21">
        <v>34.650000000000006</v>
      </c>
      <c r="G524" s="21">
        <v>15.75</v>
      </c>
      <c r="H524" s="21">
        <v>94.5</v>
      </c>
      <c r="I524" s="21">
        <v>18.899999999999999</v>
      </c>
      <c r="J524" s="21">
        <v>9.4499999999999993</v>
      </c>
      <c r="K524" s="21">
        <v>51.975000000000001</v>
      </c>
      <c r="L524" s="21">
        <v>9.4500000000000011</v>
      </c>
      <c r="M524" s="21">
        <v>14.174999999999999</v>
      </c>
      <c r="N524" s="21">
        <v>6.6150000000000002</v>
      </c>
      <c r="O524" s="21">
        <v>12.285</v>
      </c>
    </row>
    <row r="525" spans="1:15" x14ac:dyDescent="0.25">
      <c r="A525" s="35">
        <v>43530</v>
      </c>
      <c r="B525" s="16">
        <v>13</v>
      </c>
      <c r="C525" s="16" t="s">
        <v>73</v>
      </c>
      <c r="D525" s="21">
        <v>65</v>
      </c>
      <c r="E525" s="21">
        <v>13</v>
      </c>
      <c r="F525" s="21">
        <v>35.75</v>
      </c>
      <c r="G525" s="21">
        <v>16.25</v>
      </c>
      <c r="H525" s="21">
        <v>97.5</v>
      </c>
      <c r="I525" s="21">
        <v>19.5</v>
      </c>
      <c r="J525" s="21">
        <v>9.75</v>
      </c>
      <c r="K525" s="21">
        <v>53.625000000000007</v>
      </c>
      <c r="L525" s="21">
        <v>9.75</v>
      </c>
      <c r="M525" s="21">
        <v>14.625</v>
      </c>
      <c r="N525" s="21">
        <v>6.8250000000000011</v>
      </c>
      <c r="O525" s="21">
        <v>12.675000000000001</v>
      </c>
    </row>
    <row r="526" spans="1:15" x14ac:dyDescent="0.25">
      <c r="A526" s="35">
        <v>43546</v>
      </c>
      <c r="B526" s="16">
        <v>20</v>
      </c>
      <c r="C526" s="16" t="s">
        <v>80</v>
      </c>
      <c r="D526" s="21">
        <v>68</v>
      </c>
      <c r="E526" s="21">
        <v>13.600000000000001</v>
      </c>
      <c r="F526" s="21">
        <v>37.400000000000006</v>
      </c>
      <c r="G526" s="21">
        <v>17</v>
      </c>
      <c r="H526" s="21">
        <v>102</v>
      </c>
      <c r="I526" s="21">
        <v>20.399999999999999</v>
      </c>
      <c r="J526" s="21">
        <v>10.199999999999999</v>
      </c>
      <c r="K526" s="21">
        <v>56.1</v>
      </c>
      <c r="L526" s="21">
        <v>10.200000000000001</v>
      </c>
      <c r="M526" s="21">
        <v>15.299999999999999</v>
      </c>
      <c r="N526" s="21">
        <v>7.1400000000000006</v>
      </c>
      <c r="O526" s="21">
        <v>13.26</v>
      </c>
    </row>
    <row r="527" spans="1:15" x14ac:dyDescent="0.25">
      <c r="A527" s="35">
        <v>43531</v>
      </c>
      <c r="B527" s="16">
        <v>11</v>
      </c>
      <c r="C527" s="16" t="s">
        <v>71</v>
      </c>
      <c r="D527" s="21">
        <v>74</v>
      </c>
      <c r="E527" s="21">
        <v>14.8</v>
      </c>
      <c r="F527" s="21">
        <v>40.700000000000003</v>
      </c>
      <c r="G527" s="21">
        <v>18.5</v>
      </c>
      <c r="H527" s="21">
        <v>111</v>
      </c>
      <c r="I527" s="21">
        <v>22.2</v>
      </c>
      <c r="J527" s="21">
        <v>11.1</v>
      </c>
      <c r="K527" s="21">
        <v>61.050000000000004</v>
      </c>
      <c r="L527" s="21">
        <v>11.100000000000001</v>
      </c>
      <c r="M527" s="21">
        <v>16.649999999999999</v>
      </c>
      <c r="N527" s="21">
        <v>7.7700000000000005</v>
      </c>
      <c r="O527" s="21">
        <v>14.43</v>
      </c>
    </row>
    <row r="528" spans="1:15" x14ac:dyDescent="0.25">
      <c r="A528" s="35">
        <v>43532</v>
      </c>
      <c r="B528" s="16">
        <v>2</v>
      </c>
      <c r="C528" s="16" t="s">
        <v>65</v>
      </c>
      <c r="D528" s="21">
        <v>85</v>
      </c>
      <c r="E528" s="21">
        <v>17</v>
      </c>
      <c r="F528" s="21">
        <v>46.750000000000007</v>
      </c>
      <c r="G528" s="21">
        <v>21.25</v>
      </c>
      <c r="H528" s="21">
        <v>127.5</v>
      </c>
      <c r="I528" s="21">
        <v>25.5</v>
      </c>
      <c r="J528" s="21">
        <v>12.75</v>
      </c>
      <c r="K528" s="21">
        <v>70.125</v>
      </c>
      <c r="L528" s="21">
        <v>12.75</v>
      </c>
      <c r="M528" s="21">
        <v>19.125</v>
      </c>
      <c r="N528" s="21">
        <v>8.9250000000000007</v>
      </c>
      <c r="O528" s="21">
        <v>16.574999999999999</v>
      </c>
    </row>
    <row r="529" spans="1:15" x14ac:dyDescent="0.25">
      <c r="A529" s="35">
        <v>43535</v>
      </c>
      <c r="B529" s="16">
        <v>1</v>
      </c>
      <c r="C529" s="16" t="s">
        <v>3</v>
      </c>
      <c r="D529" s="21">
        <v>96</v>
      </c>
      <c r="E529" s="21">
        <v>19.200000000000003</v>
      </c>
      <c r="F529" s="21">
        <v>52.800000000000004</v>
      </c>
      <c r="G529" s="21">
        <v>24</v>
      </c>
      <c r="H529" s="21">
        <v>144</v>
      </c>
      <c r="I529" s="21">
        <v>28.799999999999997</v>
      </c>
      <c r="J529" s="21">
        <v>14.399999999999999</v>
      </c>
      <c r="K529" s="21">
        <v>79.2</v>
      </c>
      <c r="L529" s="21">
        <v>14.4</v>
      </c>
      <c r="M529" s="21">
        <v>21.599999999999998</v>
      </c>
      <c r="N529" s="21">
        <v>10.080000000000002</v>
      </c>
      <c r="O529" s="21">
        <v>18.72</v>
      </c>
    </row>
    <row r="530" spans="1:15" x14ac:dyDescent="0.25">
      <c r="A530" s="35">
        <v>43535</v>
      </c>
      <c r="B530" s="16">
        <v>18</v>
      </c>
      <c r="C530" s="16" t="s">
        <v>78</v>
      </c>
      <c r="D530" s="21">
        <v>50</v>
      </c>
      <c r="E530" s="21">
        <v>10</v>
      </c>
      <c r="F530" s="21">
        <v>27.500000000000004</v>
      </c>
      <c r="G530" s="21">
        <v>12.5</v>
      </c>
      <c r="H530" s="21">
        <v>75</v>
      </c>
      <c r="I530" s="21">
        <v>15</v>
      </c>
      <c r="J530" s="21">
        <v>7.5</v>
      </c>
      <c r="K530" s="21">
        <v>41.25</v>
      </c>
      <c r="L530" s="21">
        <v>7.5</v>
      </c>
      <c r="M530" s="21">
        <v>11.25</v>
      </c>
      <c r="N530" s="21">
        <v>5.2500000000000009</v>
      </c>
      <c r="O530" s="21">
        <v>9.75</v>
      </c>
    </row>
    <row r="531" spans="1:15" x14ac:dyDescent="0.25">
      <c r="A531" s="35">
        <v>43535</v>
      </c>
      <c r="B531" s="16">
        <v>9</v>
      </c>
      <c r="C531" s="16" t="s">
        <v>70</v>
      </c>
      <c r="D531" s="21">
        <v>40</v>
      </c>
      <c r="E531" s="21">
        <v>8</v>
      </c>
      <c r="F531" s="21">
        <v>22</v>
      </c>
      <c r="G531" s="21">
        <v>10</v>
      </c>
      <c r="H531" s="21">
        <v>60</v>
      </c>
      <c r="I531" s="21">
        <v>12</v>
      </c>
      <c r="J531" s="21">
        <v>6</v>
      </c>
      <c r="K531" s="21">
        <v>33</v>
      </c>
      <c r="L531" s="21">
        <v>6</v>
      </c>
      <c r="M531" s="21">
        <v>9</v>
      </c>
      <c r="N531" s="21">
        <v>4.2</v>
      </c>
      <c r="O531" s="21">
        <v>7.8000000000000007</v>
      </c>
    </row>
    <row r="532" spans="1:15" x14ac:dyDescent="0.25">
      <c r="A532" s="35">
        <v>43536</v>
      </c>
      <c r="B532" s="16">
        <v>6</v>
      </c>
      <c r="C532" s="16" t="s">
        <v>68</v>
      </c>
      <c r="D532" s="21">
        <v>41</v>
      </c>
      <c r="E532" s="21">
        <v>8.2000000000000011</v>
      </c>
      <c r="F532" s="21">
        <v>22.55</v>
      </c>
      <c r="G532" s="21">
        <v>10.25</v>
      </c>
      <c r="H532" s="21">
        <v>61.5</v>
      </c>
      <c r="I532" s="21">
        <v>12.299999999999999</v>
      </c>
      <c r="J532" s="21">
        <v>6.1499999999999995</v>
      </c>
      <c r="K532" s="21">
        <v>33.825000000000003</v>
      </c>
      <c r="L532" s="21">
        <v>6.15</v>
      </c>
      <c r="M532" s="21">
        <v>9.2249999999999996</v>
      </c>
      <c r="N532" s="21">
        <v>4.3050000000000006</v>
      </c>
      <c r="O532" s="21">
        <v>7.9950000000000001</v>
      </c>
    </row>
    <row r="533" spans="1:15" x14ac:dyDescent="0.25">
      <c r="A533" s="35">
        <v>43536</v>
      </c>
      <c r="B533" s="16">
        <v>15</v>
      </c>
      <c r="C533" s="16" t="s">
        <v>75</v>
      </c>
      <c r="D533" s="21">
        <v>45</v>
      </c>
      <c r="E533" s="21">
        <v>9</v>
      </c>
      <c r="F533" s="21">
        <v>24.750000000000004</v>
      </c>
      <c r="G533" s="21">
        <v>11.25</v>
      </c>
      <c r="H533" s="21">
        <v>67.5</v>
      </c>
      <c r="I533" s="21">
        <v>13.5</v>
      </c>
      <c r="J533" s="21">
        <v>6.75</v>
      </c>
      <c r="K533" s="21">
        <v>37.125</v>
      </c>
      <c r="L533" s="21">
        <v>6.75</v>
      </c>
      <c r="M533" s="21">
        <v>10.125</v>
      </c>
      <c r="N533" s="21">
        <v>4.7250000000000005</v>
      </c>
      <c r="O533" s="21">
        <v>8.7750000000000004</v>
      </c>
    </row>
    <row r="534" spans="1:15" x14ac:dyDescent="0.25">
      <c r="A534" s="35">
        <v>43536</v>
      </c>
      <c r="B534" s="16">
        <v>8</v>
      </c>
      <c r="C534" s="16" t="s">
        <v>4</v>
      </c>
      <c r="D534" s="21">
        <v>46</v>
      </c>
      <c r="E534" s="21">
        <v>9.2000000000000011</v>
      </c>
      <c r="F534" s="21">
        <v>25.3</v>
      </c>
      <c r="G534" s="21">
        <v>11.5</v>
      </c>
      <c r="H534" s="21">
        <v>69</v>
      </c>
      <c r="I534" s="21">
        <v>13.799999999999999</v>
      </c>
      <c r="J534" s="21">
        <v>6.8999999999999995</v>
      </c>
      <c r="K534" s="21">
        <v>37.950000000000003</v>
      </c>
      <c r="L534" s="21">
        <v>6.9</v>
      </c>
      <c r="M534" s="21">
        <v>10.35</v>
      </c>
      <c r="N534" s="21">
        <v>4.83</v>
      </c>
      <c r="O534" s="21">
        <v>8.9700000000000006</v>
      </c>
    </row>
    <row r="535" spans="1:15" x14ac:dyDescent="0.25">
      <c r="A535" s="35">
        <v>43537</v>
      </c>
      <c r="B535" s="16">
        <v>7</v>
      </c>
      <c r="C535" s="16" t="s">
        <v>69</v>
      </c>
      <c r="D535" s="21">
        <v>47</v>
      </c>
      <c r="E535" s="21">
        <v>9.4</v>
      </c>
      <c r="F535" s="21">
        <v>25.85</v>
      </c>
      <c r="G535" s="21">
        <v>11.75</v>
      </c>
      <c r="H535" s="21">
        <v>70.5</v>
      </c>
      <c r="I535" s="21">
        <v>14.1</v>
      </c>
      <c r="J535" s="21">
        <v>7.05</v>
      </c>
      <c r="K535" s="21">
        <v>38.775000000000006</v>
      </c>
      <c r="L535" s="21">
        <v>7.0500000000000007</v>
      </c>
      <c r="M535" s="21">
        <v>10.574999999999999</v>
      </c>
      <c r="N535" s="21">
        <v>4.9350000000000005</v>
      </c>
      <c r="O535" s="21">
        <v>9.1650000000000009</v>
      </c>
    </row>
    <row r="536" spans="1:15" x14ac:dyDescent="0.25">
      <c r="A536" s="35">
        <v>43537</v>
      </c>
      <c r="B536" s="16">
        <v>10</v>
      </c>
      <c r="C536" s="16" t="s">
        <v>5</v>
      </c>
      <c r="D536" s="21">
        <v>41</v>
      </c>
      <c r="E536" s="21">
        <v>8.2000000000000011</v>
      </c>
      <c r="F536" s="21">
        <v>22.55</v>
      </c>
      <c r="G536" s="21">
        <v>10.25</v>
      </c>
      <c r="H536" s="21">
        <v>61.5</v>
      </c>
      <c r="I536" s="21">
        <v>12.299999999999999</v>
      </c>
      <c r="J536" s="21">
        <v>6.1499999999999995</v>
      </c>
      <c r="K536" s="21">
        <v>33.825000000000003</v>
      </c>
      <c r="L536" s="21">
        <v>6.15</v>
      </c>
      <c r="M536" s="21">
        <v>9.2249999999999996</v>
      </c>
      <c r="N536" s="21">
        <v>4.3050000000000006</v>
      </c>
      <c r="O536" s="21">
        <v>7.9950000000000001</v>
      </c>
    </row>
    <row r="537" spans="1:15" x14ac:dyDescent="0.25">
      <c r="A537" s="35">
        <v>43537</v>
      </c>
      <c r="B537" s="16">
        <v>21</v>
      </c>
      <c r="C537" s="16" t="s">
        <v>81</v>
      </c>
      <c r="D537" s="21">
        <v>40</v>
      </c>
      <c r="E537" s="21">
        <v>8</v>
      </c>
      <c r="F537" s="21">
        <v>22</v>
      </c>
      <c r="G537" s="21">
        <v>10</v>
      </c>
      <c r="H537" s="21">
        <v>60</v>
      </c>
      <c r="I537" s="21">
        <v>12</v>
      </c>
      <c r="J537" s="21">
        <v>6</v>
      </c>
      <c r="K537" s="21">
        <v>33</v>
      </c>
      <c r="L537" s="21">
        <v>6</v>
      </c>
      <c r="M537" s="21">
        <v>9</v>
      </c>
      <c r="N537" s="21">
        <v>4.2</v>
      </c>
      <c r="O537" s="21">
        <v>7.8000000000000007</v>
      </c>
    </row>
    <row r="538" spans="1:15" x14ac:dyDescent="0.25">
      <c r="A538" s="35">
        <v>43538</v>
      </c>
      <c r="B538" s="16">
        <v>14</v>
      </c>
      <c r="C538" s="16" t="s">
        <v>74</v>
      </c>
      <c r="D538" s="21">
        <v>50</v>
      </c>
      <c r="E538" s="21">
        <v>10</v>
      </c>
      <c r="F538" s="21">
        <v>27.500000000000004</v>
      </c>
      <c r="G538" s="21">
        <v>12.5</v>
      </c>
      <c r="H538" s="21">
        <v>75</v>
      </c>
      <c r="I538" s="21">
        <v>15</v>
      </c>
      <c r="J538" s="21">
        <v>7.5</v>
      </c>
      <c r="K538" s="21">
        <v>41.25</v>
      </c>
      <c r="L538" s="21">
        <v>7.5</v>
      </c>
      <c r="M538" s="21">
        <v>11.25</v>
      </c>
      <c r="N538" s="21">
        <v>5.2500000000000009</v>
      </c>
      <c r="O538" s="21">
        <v>9.75</v>
      </c>
    </row>
    <row r="539" spans="1:15" x14ac:dyDescent="0.25">
      <c r="A539" s="35">
        <v>43539</v>
      </c>
      <c r="B539" s="16">
        <v>5</v>
      </c>
      <c r="C539" s="16" t="s">
        <v>6</v>
      </c>
      <c r="D539" s="21">
        <v>60</v>
      </c>
      <c r="E539" s="21">
        <v>12</v>
      </c>
      <c r="F539" s="21">
        <v>33</v>
      </c>
      <c r="G539" s="21">
        <v>15</v>
      </c>
      <c r="H539" s="21">
        <v>90</v>
      </c>
      <c r="I539" s="21">
        <v>18</v>
      </c>
      <c r="J539" s="21">
        <v>9</v>
      </c>
      <c r="K539" s="21">
        <v>49.500000000000007</v>
      </c>
      <c r="L539" s="21">
        <v>9</v>
      </c>
      <c r="M539" s="21">
        <v>13.5</v>
      </c>
      <c r="N539" s="21">
        <v>6.3000000000000007</v>
      </c>
      <c r="O539" s="21">
        <v>11.700000000000001</v>
      </c>
    </row>
    <row r="540" spans="1:15" x14ac:dyDescent="0.25">
      <c r="A540" s="35">
        <v>43539</v>
      </c>
      <c r="B540" s="16">
        <v>12</v>
      </c>
      <c r="C540" s="16" t="s">
        <v>72</v>
      </c>
      <c r="D540" s="21">
        <v>40</v>
      </c>
      <c r="E540" s="21">
        <v>8</v>
      </c>
      <c r="F540" s="21">
        <v>22</v>
      </c>
      <c r="G540" s="21">
        <v>10</v>
      </c>
      <c r="H540" s="21">
        <v>60</v>
      </c>
      <c r="I540" s="21">
        <v>12</v>
      </c>
      <c r="J540" s="21">
        <v>6</v>
      </c>
      <c r="K540" s="21">
        <v>33</v>
      </c>
      <c r="L540" s="21">
        <v>6</v>
      </c>
      <c r="M540" s="21">
        <v>9</v>
      </c>
      <c r="N540" s="21">
        <v>4.2</v>
      </c>
      <c r="O540" s="21">
        <v>7.8000000000000007</v>
      </c>
    </row>
    <row r="541" spans="1:15" x14ac:dyDescent="0.25">
      <c r="A541" s="35">
        <v>43539</v>
      </c>
      <c r="B541" s="16">
        <v>19</v>
      </c>
      <c r="C541" s="16" t="s">
        <v>79</v>
      </c>
      <c r="D541" s="21">
        <v>50</v>
      </c>
      <c r="E541" s="21">
        <v>10</v>
      </c>
      <c r="F541" s="21">
        <v>27.500000000000004</v>
      </c>
      <c r="G541" s="21">
        <v>12.5</v>
      </c>
      <c r="H541" s="21">
        <v>75</v>
      </c>
      <c r="I541" s="21">
        <v>15</v>
      </c>
      <c r="J541" s="21">
        <v>7.5</v>
      </c>
      <c r="K541" s="21">
        <v>41.25</v>
      </c>
      <c r="L541" s="21">
        <v>7.5</v>
      </c>
      <c r="M541" s="21">
        <v>11.25</v>
      </c>
      <c r="N541" s="21">
        <v>5.2500000000000009</v>
      </c>
      <c r="O541" s="21">
        <v>9.75</v>
      </c>
    </row>
    <row r="542" spans="1:15" x14ac:dyDescent="0.25">
      <c r="A542" s="35">
        <v>43540</v>
      </c>
      <c r="B542" s="16">
        <v>17</v>
      </c>
      <c r="C542" s="16" t="s">
        <v>77</v>
      </c>
      <c r="D542" s="21">
        <v>60</v>
      </c>
      <c r="E542" s="21">
        <v>12</v>
      </c>
      <c r="F542" s="21">
        <v>33</v>
      </c>
      <c r="G542" s="21">
        <v>15</v>
      </c>
      <c r="H542" s="21">
        <v>90</v>
      </c>
      <c r="I542" s="21">
        <v>18</v>
      </c>
      <c r="J542" s="21">
        <v>9</v>
      </c>
      <c r="K542" s="21">
        <v>49.500000000000007</v>
      </c>
      <c r="L542" s="21">
        <v>9</v>
      </c>
      <c r="M542" s="21">
        <v>13.5</v>
      </c>
      <c r="N542" s="21">
        <v>6.3000000000000007</v>
      </c>
      <c r="O542" s="21">
        <v>11.700000000000001</v>
      </c>
    </row>
    <row r="543" spans="1:15" x14ac:dyDescent="0.25">
      <c r="A543" s="35">
        <v>43541</v>
      </c>
      <c r="B543" s="16">
        <v>13</v>
      </c>
      <c r="C543" s="16" t="s">
        <v>73</v>
      </c>
      <c r="D543" s="21">
        <v>60</v>
      </c>
      <c r="E543" s="21">
        <v>12</v>
      </c>
      <c r="F543" s="21">
        <v>33</v>
      </c>
      <c r="G543" s="21">
        <v>15</v>
      </c>
      <c r="H543" s="21">
        <v>90</v>
      </c>
      <c r="I543" s="21">
        <v>18</v>
      </c>
      <c r="J543" s="21">
        <v>9</v>
      </c>
      <c r="K543" s="21">
        <v>49.500000000000007</v>
      </c>
      <c r="L543" s="21">
        <v>9</v>
      </c>
      <c r="M543" s="21">
        <v>13.5</v>
      </c>
      <c r="N543" s="21">
        <v>6.3000000000000007</v>
      </c>
      <c r="O543" s="21">
        <v>11.700000000000001</v>
      </c>
    </row>
    <row r="544" spans="1:15" x14ac:dyDescent="0.25">
      <c r="A544" s="35">
        <v>43542</v>
      </c>
      <c r="B544" s="16">
        <v>20</v>
      </c>
      <c r="C544" s="16" t="s">
        <v>80</v>
      </c>
      <c r="D544" s="21">
        <v>55</v>
      </c>
      <c r="E544" s="21">
        <v>11</v>
      </c>
      <c r="F544" s="21">
        <v>30.250000000000004</v>
      </c>
      <c r="G544" s="21">
        <v>13.75</v>
      </c>
      <c r="H544" s="21">
        <v>82.5</v>
      </c>
      <c r="I544" s="21">
        <v>16.5</v>
      </c>
      <c r="J544" s="21">
        <v>8.25</v>
      </c>
      <c r="K544" s="21">
        <v>45.375000000000007</v>
      </c>
      <c r="L544" s="21">
        <v>8.25</v>
      </c>
      <c r="M544" s="21">
        <v>12.375</v>
      </c>
      <c r="N544" s="21">
        <v>5.7750000000000004</v>
      </c>
      <c r="O544" s="21">
        <v>10.725</v>
      </c>
    </row>
    <row r="545" spans="1:15" x14ac:dyDescent="0.25">
      <c r="A545" s="35">
        <v>43543</v>
      </c>
      <c r="B545" s="16">
        <v>11</v>
      </c>
      <c r="C545" s="16" t="s">
        <v>71</v>
      </c>
      <c r="D545" s="21">
        <v>45</v>
      </c>
      <c r="E545" s="21">
        <v>9</v>
      </c>
      <c r="F545" s="21">
        <v>24.750000000000004</v>
      </c>
      <c r="G545" s="21">
        <v>11.25</v>
      </c>
      <c r="H545" s="21">
        <v>67.5</v>
      </c>
      <c r="I545" s="21">
        <v>13.5</v>
      </c>
      <c r="J545" s="21">
        <v>6.75</v>
      </c>
      <c r="K545" s="21">
        <v>37.125</v>
      </c>
      <c r="L545" s="21">
        <v>6.75</v>
      </c>
      <c r="M545" s="21">
        <v>10.125</v>
      </c>
      <c r="N545" s="21">
        <v>4.7250000000000005</v>
      </c>
      <c r="O545" s="21">
        <v>8.7750000000000004</v>
      </c>
    </row>
    <row r="546" spans="1:15" x14ac:dyDescent="0.25">
      <c r="A546" s="35">
        <v>43543</v>
      </c>
      <c r="B546" s="16">
        <v>15</v>
      </c>
      <c r="C546" s="16" t="s">
        <v>75</v>
      </c>
      <c r="D546" s="21">
        <v>46</v>
      </c>
      <c r="E546" s="21">
        <v>9.2000000000000011</v>
      </c>
      <c r="F546" s="21">
        <v>25.3</v>
      </c>
      <c r="G546" s="21">
        <v>11.5</v>
      </c>
      <c r="H546" s="21">
        <v>69</v>
      </c>
      <c r="I546" s="21">
        <v>13.799999999999999</v>
      </c>
      <c r="J546" s="21">
        <v>6.8999999999999995</v>
      </c>
      <c r="K546" s="21">
        <v>37.950000000000003</v>
      </c>
      <c r="L546" s="21">
        <v>6.9</v>
      </c>
      <c r="M546" s="21">
        <v>10.35</v>
      </c>
      <c r="N546" s="21">
        <v>4.83</v>
      </c>
      <c r="O546" s="21">
        <v>8.9700000000000006</v>
      </c>
    </row>
    <row r="547" spans="1:15" x14ac:dyDescent="0.25">
      <c r="A547" s="35">
        <v>43543</v>
      </c>
      <c r="B547" s="16">
        <v>8</v>
      </c>
      <c r="C547" s="16" t="s">
        <v>4</v>
      </c>
      <c r="D547" s="21">
        <v>65</v>
      </c>
      <c r="E547" s="21">
        <v>13</v>
      </c>
      <c r="F547" s="21">
        <v>35.75</v>
      </c>
      <c r="G547" s="21">
        <v>16.25</v>
      </c>
      <c r="H547" s="21">
        <v>97.5</v>
      </c>
      <c r="I547" s="21">
        <v>19.5</v>
      </c>
      <c r="J547" s="21">
        <v>9.75</v>
      </c>
      <c r="K547" s="21">
        <v>53.625000000000007</v>
      </c>
      <c r="L547" s="21">
        <v>9.75</v>
      </c>
      <c r="M547" s="21">
        <v>14.625</v>
      </c>
      <c r="N547" s="21">
        <v>6.8250000000000011</v>
      </c>
      <c r="O547" s="21">
        <v>12.675000000000001</v>
      </c>
    </row>
    <row r="548" spans="1:15" x14ac:dyDescent="0.25">
      <c r="A548" s="35">
        <v>43544</v>
      </c>
      <c r="B548" s="16">
        <v>7</v>
      </c>
      <c r="C548" s="16" t="s">
        <v>69</v>
      </c>
      <c r="D548" s="21">
        <v>60</v>
      </c>
      <c r="E548" s="21">
        <v>12</v>
      </c>
      <c r="F548" s="21">
        <v>33</v>
      </c>
      <c r="G548" s="21">
        <v>15</v>
      </c>
      <c r="H548" s="21">
        <v>90</v>
      </c>
      <c r="I548" s="21">
        <v>18</v>
      </c>
      <c r="J548" s="21">
        <v>9</v>
      </c>
      <c r="K548" s="21">
        <v>49.500000000000007</v>
      </c>
      <c r="L548" s="21">
        <v>9</v>
      </c>
      <c r="M548" s="21">
        <v>13.5</v>
      </c>
      <c r="N548" s="21">
        <v>6.3000000000000007</v>
      </c>
      <c r="O548" s="21">
        <v>11.700000000000001</v>
      </c>
    </row>
    <row r="549" spans="1:15" x14ac:dyDescent="0.25">
      <c r="A549" s="35">
        <v>43544</v>
      </c>
      <c r="B549" s="16">
        <v>10</v>
      </c>
      <c r="C549" s="16" t="s">
        <v>5</v>
      </c>
      <c r="D549" s="21">
        <v>50</v>
      </c>
      <c r="E549" s="21">
        <v>10</v>
      </c>
      <c r="F549" s="21">
        <v>27.500000000000004</v>
      </c>
      <c r="G549" s="21">
        <v>12.5</v>
      </c>
      <c r="H549" s="21">
        <v>75</v>
      </c>
      <c r="I549" s="21">
        <v>15</v>
      </c>
      <c r="J549" s="21">
        <v>7.5</v>
      </c>
      <c r="K549" s="21">
        <v>41.25</v>
      </c>
      <c r="L549" s="21">
        <v>7.5</v>
      </c>
      <c r="M549" s="21">
        <v>11.25</v>
      </c>
      <c r="N549" s="21">
        <v>5.2500000000000009</v>
      </c>
      <c r="O549" s="21">
        <v>9.75</v>
      </c>
    </row>
    <row r="550" spans="1:15" x14ac:dyDescent="0.25">
      <c r="A550" s="35">
        <v>43544</v>
      </c>
      <c r="B550" s="16">
        <v>21</v>
      </c>
      <c r="C550" s="16" t="s">
        <v>81</v>
      </c>
      <c r="D550" s="21">
        <v>40</v>
      </c>
      <c r="E550" s="21">
        <v>8</v>
      </c>
      <c r="F550" s="21">
        <v>22</v>
      </c>
      <c r="G550" s="21">
        <v>10</v>
      </c>
      <c r="H550" s="21">
        <v>60</v>
      </c>
      <c r="I550" s="21">
        <v>12</v>
      </c>
      <c r="J550" s="21">
        <v>6</v>
      </c>
      <c r="K550" s="21">
        <v>33</v>
      </c>
      <c r="L550" s="21">
        <v>6</v>
      </c>
      <c r="M550" s="21">
        <v>9</v>
      </c>
      <c r="N550" s="21">
        <v>4.2</v>
      </c>
      <c r="O550" s="21">
        <v>7.8000000000000007</v>
      </c>
    </row>
    <row r="551" spans="1:15" x14ac:dyDescent="0.25">
      <c r="A551" s="35">
        <v>43544</v>
      </c>
      <c r="B551" s="16">
        <v>14</v>
      </c>
      <c r="C551" s="16" t="s">
        <v>74</v>
      </c>
      <c r="D551" s="21">
        <v>60</v>
      </c>
      <c r="E551" s="21">
        <v>12</v>
      </c>
      <c r="F551" s="21">
        <v>33</v>
      </c>
      <c r="G551" s="21">
        <v>15</v>
      </c>
      <c r="H551" s="21">
        <v>90</v>
      </c>
      <c r="I551" s="21">
        <v>18</v>
      </c>
      <c r="J551" s="21">
        <v>9</v>
      </c>
      <c r="K551" s="21">
        <v>49.500000000000007</v>
      </c>
      <c r="L551" s="21">
        <v>9</v>
      </c>
      <c r="M551" s="21">
        <v>13.5</v>
      </c>
      <c r="N551" s="21">
        <v>6.3000000000000007</v>
      </c>
      <c r="O551" s="21">
        <v>11.700000000000001</v>
      </c>
    </row>
    <row r="552" spans="1:15" x14ac:dyDescent="0.25">
      <c r="A552" s="35">
        <v>43545</v>
      </c>
      <c r="B552" s="16">
        <v>5</v>
      </c>
      <c r="C552" s="16" t="s">
        <v>6</v>
      </c>
      <c r="D552" s="21">
        <v>30</v>
      </c>
      <c r="E552" s="21">
        <v>6</v>
      </c>
      <c r="F552" s="21">
        <v>16.5</v>
      </c>
      <c r="G552" s="21">
        <v>7.5</v>
      </c>
      <c r="H552" s="21">
        <v>45</v>
      </c>
      <c r="I552" s="21">
        <v>9</v>
      </c>
      <c r="J552" s="21">
        <v>4.5</v>
      </c>
      <c r="K552" s="21">
        <v>24.750000000000004</v>
      </c>
      <c r="L552" s="21">
        <v>4.5</v>
      </c>
      <c r="M552" s="21">
        <v>6.75</v>
      </c>
      <c r="N552" s="21">
        <v>3.1500000000000004</v>
      </c>
      <c r="O552" s="21">
        <v>5.8500000000000005</v>
      </c>
    </row>
    <row r="553" spans="1:15" x14ac:dyDescent="0.25">
      <c r="A553" s="35">
        <v>43546</v>
      </c>
      <c r="B553" s="16">
        <v>12</v>
      </c>
      <c r="C553" s="16" t="s">
        <v>72</v>
      </c>
      <c r="D553" s="21">
        <v>32</v>
      </c>
      <c r="E553" s="21">
        <v>6.4</v>
      </c>
      <c r="F553" s="21">
        <v>17.600000000000001</v>
      </c>
      <c r="G553" s="21">
        <v>8</v>
      </c>
      <c r="H553" s="21">
        <v>48</v>
      </c>
      <c r="I553" s="21">
        <v>9.6</v>
      </c>
      <c r="J553" s="21">
        <v>4.8</v>
      </c>
      <c r="K553" s="21">
        <v>26.400000000000002</v>
      </c>
      <c r="L553" s="21">
        <v>4.8000000000000007</v>
      </c>
      <c r="M553" s="21">
        <v>7.1999999999999993</v>
      </c>
      <c r="N553" s="21">
        <v>3.3600000000000003</v>
      </c>
      <c r="O553" s="21">
        <v>6.24</v>
      </c>
    </row>
    <row r="554" spans="1:15" x14ac:dyDescent="0.25">
      <c r="A554" s="35">
        <v>43546</v>
      </c>
      <c r="B554" s="16">
        <v>19</v>
      </c>
      <c r="C554" s="16" t="s">
        <v>79</v>
      </c>
      <c r="D554" s="21">
        <v>32</v>
      </c>
      <c r="E554" s="21">
        <v>6.4</v>
      </c>
      <c r="F554" s="21">
        <v>17.600000000000001</v>
      </c>
      <c r="G554" s="21">
        <v>8</v>
      </c>
      <c r="H554" s="21">
        <v>48</v>
      </c>
      <c r="I554" s="21">
        <v>9.6</v>
      </c>
      <c r="J554" s="21">
        <v>4.8</v>
      </c>
      <c r="K554" s="21">
        <v>26.400000000000002</v>
      </c>
      <c r="L554" s="21">
        <v>4.8000000000000007</v>
      </c>
      <c r="M554" s="21">
        <v>7.1999999999999993</v>
      </c>
      <c r="N554" s="21">
        <v>3.3600000000000003</v>
      </c>
      <c r="O554" s="21">
        <v>6.24</v>
      </c>
    </row>
    <row r="555" spans="1:15" x14ac:dyDescent="0.25">
      <c r="A555" s="35">
        <v>43546</v>
      </c>
      <c r="B555" s="16">
        <v>17</v>
      </c>
      <c r="C555" s="16" t="s">
        <v>77</v>
      </c>
      <c r="D555" s="21">
        <v>65</v>
      </c>
      <c r="E555" s="21">
        <v>13</v>
      </c>
      <c r="F555" s="21">
        <v>35.75</v>
      </c>
      <c r="G555" s="21">
        <v>16.25</v>
      </c>
      <c r="H555" s="21">
        <v>97.5</v>
      </c>
      <c r="I555" s="21">
        <v>19.5</v>
      </c>
      <c r="J555" s="21">
        <v>9.75</v>
      </c>
      <c r="K555" s="21">
        <v>53.625000000000007</v>
      </c>
      <c r="L555" s="21">
        <v>9.75</v>
      </c>
      <c r="M555" s="21">
        <v>14.625</v>
      </c>
      <c r="N555" s="21">
        <v>6.8250000000000011</v>
      </c>
      <c r="O555" s="21">
        <v>12.675000000000001</v>
      </c>
    </row>
    <row r="556" spans="1:15" x14ac:dyDescent="0.25">
      <c r="A556" s="35">
        <v>43546</v>
      </c>
      <c r="B556" s="16">
        <v>13</v>
      </c>
      <c r="C556" s="16" t="s">
        <v>73</v>
      </c>
      <c r="D556" s="21">
        <v>65</v>
      </c>
      <c r="E556" s="21">
        <v>13</v>
      </c>
      <c r="F556" s="21">
        <v>35.75</v>
      </c>
      <c r="G556" s="21">
        <v>16.25</v>
      </c>
      <c r="H556" s="21">
        <v>97.5</v>
      </c>
      <c r="I556" s="21">
        <v>19.5</v>
      </c>
      <c r="J556" s="21">
        <v>9.75</v>
      </c>
      <c r="K556" s="21">
        <v>53.625000000000007</v>
      </c>
      <c r="L556" s="21">
        <v>9.75</v>
      </c>
      <c r="M556" s="21">
        <v>14.625</v>
      </c>
      <c r="N556" s="21">
        <v>6.8250000000000011</v>
      </c>
      <c r="O556" s="21">
        <v>12.675000000000001</v>
      </c>
    </row>
    <row r="557" spans="1:15" x14ac:dyDescent="0.25">
      <c r="A557" s="35">
        <v>43546</v>
      </c>
      <c r="B557" s="16">
        <v>20</v>
      </c>
      <c r="C557" s="16" t="s">
        <v>80</v>
      </c>
      <c r="D557" s="21">
        <v>45</v>
      </c>
      <c r="E557" s="21">
        <v>9</v>
      </c>
      <c r="F557" s="21">
        <v>24.750000000000004</v>
      </c>
      <c r="G557" s="21">
        <v>11.25</v>
      </c>
      <c r="H557" s="21">
        <v>67.5</v>
      </c>
      <c r="I557" s="21">
        <v>13.5</v>
      </c>
      <c r="J557" s="21">
        <v>6.75</v>
      </c>
      <c r="K557" s="21">
        <v>37.125</v>
      </c>
      <c r="L557" s="21">
        <v>6.75</v>
      </c>
      <c r="M557" s="21">
        <v>10.125</v>
      </c>
      <c r="N557" s="21">
        <v>4.7250000000000005</v>
      </c>
      <c r="O557" s="21">
        <v>8.7750000000000004</v>
      </c>
    </row>
    <row r="558" spans="1:15" x14ac:dyDescent="0.25">
      <c r="A558" s="35">
        <v>43549</v>
      </c>
      <c r="B558" s="16">
        <v>11</v>
      </c>
      <c r="C558" s="16" t="s">
        <v>71</v>
      </c>
      <c r="D558" s="21">
        <v>25</v>
      </c>
      <c r="E558" s="21">
        <v>5</v>
      </c>
      <c r="F558" s="21">
        <v>13.750000000000002</v>
      </c>
      <c r="G558" s="21">
        <v>6.25</v>
      </c>
      <c r="H558" s="21">
        <v>37.5</v>
      </c>
      <c r="I558" s="21">
        <v>7.5</v>
      </c>
      <c r="J558" s="21">
        <v>3.75</v>
      </c>
      <c r="K558" s="21">
        <v>20.625</v>
      </c>
      <c r="L558" s="21">
        <v>3.75</v>
      </c>
      <c r="M558" s="21">
        <v>5.625</v>
      </c>
      <c r="N558" s="21">
        <v>2.6250000000000004</v>
      </c>
      <c r="O558" s="21">
        <v>4.875</v>
      </c>
    </row>
    <row r="559" spans="1:15" x14ac:dyDescent="0.25">
      <c r="A559" s="35">
        <v>43550</v>
      </c>
      <c r="B559" s="16">
        <v>19</v>
      </c>
      <c r="C559" s="16" t="s">
        <v>79</v>
      </c>
      <c r="D559" s="21">
        <v>36</v>
      </c>
      <c r="E559" s="21">
        <v>7.2</v>
      </c>
      <c r="F559" s="21">
        <v>19.8</v>
      </c>
      <c r="G559" s="21">
        <v>9</v>
      </c>
      <c r="H559" s="21">
        <v>54</v>
      </c>
      <c r="I559" s="21">
        <v>10.799999999999999</v>
      </c>
      <c r="J559" s="21">
        <v>5.3999999999999995</v>
      </c>
      <c r="K559" s="21">
        <v>29.700000000000003</v>
      </c>
      <c r="L559" s="21">
        <v>5.4</v>
      </c>
      <c r="M559" s="21">
        <v>8.1</v>
      </c>
      <c r="N559" s="21">
        <v>3.7800000000000002</v>
      </c>
      <c r="O559" s="21">
        <v>7.0200000000000005</v>
      </c>
    </row>
    <row r="560" spans="1:15" x14ac:dyDescent="0.25">
      <c r="A560" s="35">
        <v>43550</v>
      </c>
      <c r="B560" s="16">
        <v>17</v>
      </c>
      <c r="C560" s="16" t="s">
        <v>77</v>
      </c>
      <c r="D560" s="21">
        <v>63</v>
      </c>
      <c r="E560" s="21">
        <v>12.600000000000001</v>
      </c>
      <c r="F560" s="21">
        <v>34.650000000000006</v>
      </c>
      <c r="G560" s="21">
        <v>15.75</v>
      </c>
      <c r="H560" s="21">
        <v>94.5</v>
      </c>
      <c r="I560" s="21">
        <v>18.899999999999999</v>
      </c>
      <c r="J560" s="21">
        <v>9.4499999999999993</v>
      </c>
      <c r="K560" s="21">
        <v>51.975000000000001</v>
      </c>
      <c r="L560" s="21">
        <v>9.4500000000000011</v>
      </c>
      <c r="M560" s="21">
        <v>14.174999999999999</v>
      </c>
      <c r="N560" s="21">
        <v>6.6150000000000002</v>
      </c>
      <c r="O560" s="21">
        <v>12.285</v>
      </c>
    </row>
    <row r="561" spans="1:15" x14ac:dyDescent="0.25">
      <c r="A561" s="35">
        <v>43551</v>
      </c>
      <c r="B561" s="16">
        <v>13</v>
      </c>
      <c r="C561" s="16" t="s">
        <v>73</v>
      </c>
      <c r="D561" s="21">
        <v>52</v>
      </c>
      <c r="E561" s="21">
        <v>10.4</v>
      </c>
      <c r="F561" s="21">
        <v>28.6</v>
      </c>
      <c r="G561" s="21">
        <v>13</v>
      </c>
      <c r="H561" s="21">
        <v>78</v>
      </c>
      <c r="I561" s="21">
        <v>15.6</v>
      </c>
      <c r="J561" s="21">
        <v>7.8</v>
      </c>
      <c r="K561" s="21">
        <v>42.900000000000006</v>
      </c>
      <c r="L561" s="21">
        <v>7.8000000000000007</v>
      </c>
      <c r="M561" s="21">
        <v>11.7</v>
      </c>
      <c r="N561" s="21">
        <v>5.4600000000000009</v>
      </c>
      <c r="O561" s="21">
        <v>10.14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B8B9-D129-48CA-A9B4-5EB079B2E2CA}">
  <dimension ref="A2:K15"/>
  <sheetViews>
    <sheetView topLeftCell="A2" workbookViewId="0">
      <selection activeCell="N11" sqref="N11"/>
    </sheetView>
  </sheetViews>
  <sheetFormatPr defaultRowHeight="15" x14ac:dyDescent="0.25"/>
  <cols>
    <col min="1" max="1" width="11.28515625" bestFit="1" customWidth="1"/>
    <col min="2" max="2" width="12" bestFit="1" customWidth="1"/>
    <col min="9" max="9" width="12" bestFit="1" customWidth="1"/>
    <col min="10" max="10" width="7.7109375" customWidth="1"/>
  </cols>
  <sheetData>
    <row r="2" spans="1:11" x14ac:dyDescent="0.25">
      <c r="A2" s="72" t="s">
        <v>89</v>
      </c>
      <c r="B2" s="72"/>
      <c r="C2" s="72"/>
    </row>
    <row r="5" spans="1:11" x14ac:dyDescent="0.25">
      <c r="A5" s="23" t="s">
        <v>54</v>
      </c>
      <c r="B5" s="23" t="s">
        <v>53</v>
      </c>
      <c r="C5" s="36">
        <v>1</v>
      </c>
      <c r="D5" s="36">
        <v>2</v>
      </c>
      <c r="E5" s="36">
        <v>3</v>
      </c>
      <c r="F5" s="36">
        <v>4</v>
      </c>
      <c r="I5" s="23" t="s">
        <v>53</v>
      </c>
      <c r="J5" s="36" t="s">
        <v>88</v>
      </c>
      <c r="K5" t="s">
        <v>87</v>
      </c>
    </row>
    <row r="6" spans="1:11" x14ac:dyDescent="0.25">
      <c r="A6" s="16">
        <v>4</v>
      </c>
      <c r="B6" s="16" t="s">
        <v>67</v>
      </c>
      <c r="C6" s="16">
        <v>15</v>
      </c>
      <c r="D6" s="16">
        <v>24</v>
      </c>
      <c r="E6" s="16">
        <v>24</v>
      </c>
      <c r="F6" s="16">
        <v>54</v>
      </c>
      <c r="I6" t="s">
        <v>3</v>
      </c>
      <c r="J6">
        <v>1</v>
      </c>
      <c r="K6">
        <f>INDEX(C6:F12,MATCH(I6,B6:B12,0),MATCH(J6,C5:F5,0))</f>
        <v>40</v>
      </c>
    </row>
    <row r="7" spans="1:11" x14ac:dyDescent="0.25">
      <c r="A7" s="16">
        <v>16</v>
      </c>
      <c r="B7" s="16" t="s">
        <v>76</v>
      </c>
      <c r="C7" s="16">
        <v>18</v>
      </c>
      <c r="D7" s="16">
        <v>45</v>
      </c>
      <c r="E7" s="16">
        <v>76</v>
      </c>
      <c r="F7" s="16">
        <v>36</v>
      </c>
    </row>
    <row r="8" spans="1:11" x14ac:dyDescent="0.25">
      <c r="A8" s="16">
        <v>3</v>
      </c>
      <c r="B8" s="16" t="s">
        <v>66</v>
      </c>
      <c r="C8" s="16">
        <v>30</v>
      </c>
      <c r="D8" s="16">
        <v>23</v>
      </c>
      <c r="E8" s="16">
        <v>35</v>
      </c>
      <c r="F8" s="16">
        <v>65</v>
      </c>
    </row>
    <row r="9" spans="1:11" x14ac:dyDescent="0.25">
      <c r="A9" s="16">
        <v>2</v>
      </c>
      <c r="B9" s="16" t="s">
        <v>65</v>
      </c>
      <c r="C9" s="16">
        <v>35</v>
      </c>
      <c r="D9" s="16">
        <v>40</v>
      </c>
      <c r="E9" s="16">
        <v>36</v>
      </c>
      <c r="F9" s="16">
        <v>38</v>
      </c>
      <c r="I9" s="23" t="s">
        <v>53</v>
      </c>
      <c r="J9" s="36" t="s">
        <v>88</v>
      </c>
    </row>
    <row r="10" spans="1:11" x14ac:dyDescent="0.25">
      <c r="A10" s="16">
        <v>1</v>
      </c>
      <c r="B10" s="16" t="s">
        <v>3</v>
      </c>
      <c r="C10" s="16">
        <v>40</v>
      </c>
      <c r="D10" s="16">
        <v>57</v>
      </c>
      <c r="E10" s="16">
        <v>37</v>
      </c>
      <c r="F10" s="41">
        <v>48.3333333333333</v>
      </c>
      <c r="I10" s="16" t="s">
        <v>70</v>
      </c>
      <c r="J10">
        <v>1</v>
      </c>
      <c r="K10" s="49">
        <f>INDEX(C6:F12,MATCH(I10,B6:B12,0),MATCH(J10,C5:F5,0))</f>
        <v>50</v>
      </c>
    </row>
    <row r="11" spans="1:11" x14ac:dyDescent="0.25">
      <c r="A11" s="16">
        <v>18</v>
      </c>
      <c r="B11" s="16" t="s">
        <v>78</v>
      </c>
      <c r="C11" s="16">
        <v>45</v>
      </c>
      <c r="D11" s="16">
        <v>74</v>
      </c>
      <c r="E11" s="16">
        <v>38</v>
      </c>
      <c r="F11" s="41">
        <v>49.3333333333333</v>
      </c>
    </row>
    <row r="12" spans="1:11" x14ac:dyDescent="0.25">
      <c r="A12" s="16">
        <v>9</v>
      </c>
      <c r="B12" s="16" t="s">
        <v>70</v>
      </c>
      <c r="C12" s="16">
        <v>50</v>
      </c>
      <c r="D12" s="16">
        <v>91</v>
      </c>
      <c r="E12" s="16">
        <v>39</v>
      </c>
      <c r="F12" s="41">
        <v>50.3333333333333</v>
      </c>
    </row>
    <row r="14" spans="1:11" x14ac:dyDescent="0.25">
      <c r="I14" s="23" t="s">
        <v>53</v>
      </c>
      <c r="J14" s="36" t="s">
        <v>88</v>
      </c>
    </row>
    <row r="15" spans="1:11" x14ac:dyDescent="0.25">
      <c r="I15" s="16" t="s">
        <v>3</v>
      </c>
      <c r="J15">
        <v>1</v>
      </c>
      <c r="K15">
        <f>INDEX(C6:F12,MATCH(I15,B6:B12,0),MATCH(J15,C5:F5,0))</f>
        <v>40</v>
      </c>
    </row>
  </sheetData>
  <mergeCells count="1"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CC4A-62BD-4A1A-ACAE-D7D3338CCD23}">
  <dimension ref="A2:W48"/>
  <sheetViews>
    <sheetView workbookViewId="0">
      <selection activeCell="I7" sqref="I7"/>
    </sheetView>
  </sheetViews>
  <sheetFormatPr defaultRowHeight="15" x14ac:dyDescent="0.25"/>
  <cols>
    <col min="1" max="1" width="5.28515625" customWidth="1"/>
    <col min="2" max="2" width="11" bestFit="1" customWidth="1"/>
    <col min="4" max="4" width="12.28515625" bestFit="1" customWidth="1"/>
    <col min="9" max="9" width="18.28515625" customWidth="1"/>
    <col min="10" max="10" width="11.5703125" customWidth="1"/>
    <col min="11" max="11" width="13.7109375" bestFit="1" customWidth="1"/>
  </cols>
  <sheetData>
    <row r="2" spans="1:23" ht="18.75" x14ac:dyDescent="0.3">
      <c r="I2" s="74" t="s">
        <v>897</v>
      </c>
      <c r="J2" s="74"/>
      <c r="K2" s="74"/>
      <c r="O2" s="50"/>
    </row>
    <row r="3" spans="1:23" x14ac:dyDescent="0.25">
      <c r="O3" s="50"/>
    </row>
    <row r="4" spans="1:23" x14ac:dyDescent="0.25">
      <c r="A4" s="39"/>
      <c r="B4" s="39"/>
      <c r="C4" s="40"/>
      <c r="D4" s="40"/>
      <c r="E4" s="40"/>
      <c r="F4" s="40"/>
      <c r="O4" s="50"/>
    </row>
    <row r="5" spans="1:23" x14ac:dyDescent="0.25">
      <c r="A5" s="37"/>
      <c r="B5" s="37"/>
      <c r="C5" s="37"/>
      <c r="D5" s="37"/>
      <c r="E5" s="37"/>
      <c r="F5" s="37"/>
      <c r="O5" s="5"/>
    </row>
    <row r="6" spans="1:23" x14ac:dyDescent="0.25">
      <c r="A6" s="37"/>
      <c r="B6" s="37"/>
      <c r="C6" s="37"/>
      <c r="D6" s="37"/>
      <c r="E6" s="37"/>
      <c r="F6" s="37"/>
      <c r="I6" s="47" t="s">
        <v>90</v>
      </c>
      <c r="J6" s="37"/>
      <c r="K6" s="51"/>
      <c r="O6" s="5"/>
    </row>
    <row r="7" spans="1:23" x14ac:dyDescent="0.25">
      <c r="A7" s="37"/>
      <c r="B7" s="13">
        <v>43586</v>
      </c>
      <c r="C7" s="5" t="s">
        <v>3</v>
      </c>
      <c r="D7" s="5" t="s">
        <v>10</v>
      </c>
      <c r="E7" s="37">
        <v>3220227</v>
      </c>
      <c r="F7" s="37"/>
      <c r="I7" s="5" t="s">
        <v>4</v>
      </c>
      <c r="O7" s="5"/>
    </row>
    <row r="8" spans="1:23" x14ac:dyDescent="0.25">
      <c r="A8" s="37"/>
      <c r="B8" s="13">
        <v>43587</v>
      </c>
      <c r="C8" s="5" t="s">
        <v>4</v>
      </c>
      <c r="D8" s="5" t="s">
        <v>15</v>
      </c>
      <c r="E8" s="37">
        <v>2636248</v>
      </c>
      <c r="F8" s="37"/>
      <c r="W8" t="str" cm="1">
        <f t="array" ref="W8:W13">_xlfn.UNIQUE(C7:C36)</f>
        <v>Ahmed</v>
      </c>
    </row>
    <row r="9" spans="1:23" x14ac:dyDescent="0.25">
      <c r="A9" s="37"/>
      <c r="B9" s="13">
        <v>43588</v>
      </c>
      <c r="C9" s="5" t="s">
        <v>5</v>
      </c>
      <c r="D9" s="5" t="s">
        <v>10</v>
      </c>
      <c r="E9" s="37">
        <v>1189039</v>
      </c>
      <c r="F9" s="38"/>
      <c r="W9" t="str">
        <v>Hossam</v>
      </c>
    </row>
    <row r="10" spans="1:23" x14ac:dyDescent="0.25">
      <c r="A10" s="37"/>
      <c r="B10" s="13">
        <v>43589</v>
      </c>
      <c r="C10" s="5" t="s">
        <v>6</v>
      </c>
      <c r="D10" s="5" t="s">
        <v>12</v>
      </c>
      <c r="E10" s="37">
        <v>2498993</v>
      </c>
      <c r="F10" s="38"/>
      <c r="I10" s="47" t="s">
        <v>87</v>
      </c>
      <c r="W10" t="str">
        <v>Abdullah</v>
      </c>
    </row>
    <row r="11" spans="1:23" x14ac:dyDescent="0.25">
      <c r="A11" s="37"/>
      <c r="B11" s="13">
        <v>43590</v>
      </c>
      <c r="C11" s="5" t="s">
        <v>7</v>
      </c>
      <c r="D11" s="9" t="s">
        <v>13</v>
      </c>
      <c r="E11" s="37">
        <v>1602201</v>
      </c>
      <c r="F11" s="38"/>
      <c r="I11" t="str" cm="1">
        <f t="array" ref="I11:K17">_xlfn._xlws.FILTER(C:E,C:C=I7,"not found")</f>
        <v>Hossam</v>
      </c>
      <c r="J11" t="str">
        <v>Jeep</v>
      </c>
      <c r="K11">
        <v>2636248</v>
      </c>
      <c r="W11" t="str">
        <v>Mona</v>
      </c>
    </row>
    <row r="12" spans="1:23" x14ac:dyDescent="0.25">
      <c r="B12" s="13">
        <v>43591</v>
      </c>
      <c r="C12" s="5" t="s">
        <v>3</v>
      </c>
      <c r="D12" s="5" t="s">
        <v>14</v>
      </c>
      <c r="E12" s="37">
        <v>3452594</v>
      </c>
      <c r="I12" t="str">
        <v>Hossam</v>
      </c>
      <c r="J12" t="str">
        <v>Toyota</v>
      </c>
      <c r="K12">
        <v>1237464</v>
      </c>
      <c r="W12" t="str">
        <v>Farida</v>
      </c>
    </row>
    <row r="13" spans="1:23" x14ac:dyDescent="0.25">
      <c r="B13" s="13">
        <v>43592</v>
      </c>
      <c r="C13" s="5" t="s">
        <v>4</v>
      </c>
      <c r="D13" s="5" t="s">
        <v>10</v>
      </c>
      <c r="E13" s="37">
        <v>1237464</v>
      </c>
      <c r="I13" t="str">
        <v>Hossam</v>
      </c>
      <c r="J13" t="str">
        <v>Volkswagen</v>
      </c>
      <c r="K13">
        <v>2813226</v>
      </c>
      <c r="W13" t="str">
        <v>Ali</v>
      </c>
    </row>
    <row r="14" spans="1:23" x14ac:dyDescent="0.25">
      <c r="B14" s="13">
        <v>43593</v>
      </c>
      <c r="C14" s="5" t="s">
        <v>3</v>
      </c>
      <c r="D14" s="5" t="s">
        <v>15</v>
      </c>
      <c r="E14" s="37">
        <v>4388211</v>
      </c>
      <c r="I14" t="str">
        <v>Hossam</v>
      </c>
      <c r="J14" t="str">
        <v>BMW</v>
      </c>
      <c r="K14">
        <v>4936405</v>
      </c>
    </row>
    <row r="15" spans="1:23" x14ac:dyDescent="0.25">
      <c r="B15" s="14">
        <v>43594</v>
      </c>
      <c r="C15" s="9" t="s">
        <v>6</v>
      </c>
      <c r="D15" s="5" t="s">
        <v>10</v>
      </c>
      <c r="E15" s="37">
        <v>2305153</v>
      </c>
      <c r="I15" t="str">
        <v>Hossam</v>
      </c>
      <c r="J15" t="str">
        <v>Kia</v>
      </c>
      <c r="K15">
        <v>2840242</v>
      </c>
    </row>
    <row r="16" spans="1:23" x14ac:dyDescent="0.25">
      <c r="B16" s="13">
        <v>43595</v>
      </c>
      <c r="C16" s="5" t="s">
        <v>5</v>
      </c>
      <c r="D16" s="5" t="s">
        <v>15</v>
      </c>
      <c r="E16" s="37">
        <v>2107092</v>
      </c>
      <c r="I16" t="str">
        <v>Hossam</v>
      </c>
      <c r="J16" t="str">
        <v>Kia</v>
      </c>
      <c r="K16">
        <v>1877946</v>
      </c>
    </row>
    <row r="17" spans="2:11" x14ac:dyDescent="0.25">
      <c r="B17" s="13">
        <v>43596</v>
      </c>
      <c r="C17" s="5" t="s">
        <v>4</v>
      </c>
      <c r="D17" s="9" t="s">
        <v>12</v>
      </c>
      <c r="E17" s="37">
        <v>2813226</v>
      </c>
      <c r="I17" t="str">
        <v>Hossam</v>
      </c>
      <c r="J17" t="str">
        <v>Jeep</v>
      </c>
      <c r="K17">
        <v>3128119</v>
      </c>
    </row>
    <row r="18" spans="2:11" x14ac:dyDescent="0.25">
      <c r="B18" s="13">
        <v>43597</v>
      </c>
      <c r="C18" s="9" t="s">
        <v>6</v>
      </c>
      <c r="D18" s="5" t="s">
        <v>12</v>
      </c>
      <c r="E18" s="37">
        <v>4765963</v>
      </c>
    </row>
    <row r="19" spans="2:11" x14ac:dyDescent="0.25">
      <c r="B19" s="13">
        <v>43598</v>
      </c>
      <c r="C19" s="5" t="s">
        <v>7</v>
      </c>
      <c r="D19" s="9" t="s">
        <v>15</v>
      </c>
      <c r="E19" s="37">
        <v>4850348</v>
      </c>
    </row>
    <row r="20" spans="2:11" x14ac:dyDescent="0.25">
      <c r="B20" s="13">
        <v>43599</v>
      </c>
      <c r="C20" s="9" t="s">
        <v>7</v>
      </c>
      <c r="D20" s="5" t="s">
        <v>10</v>
      </c>
      <c r="E20" s="37">
        <v>1003502</v>
      </c>
    </row>
    <row r="21" spans="2:11" x14ac:dyDescent="0.25">
      <c r="B21" s="14">
        <v>43600</v>
      </c>
      <c r="C21" s="5" t="s">
        <v>3</v>
      </c>
      <c r="D21" s="5" t="s">
        <v>14</v>
      </c>
      <c r="E21" s="37">
        <v>4819337</v>
      </c>
    </row>
    <row r="22" spans="2:11" x14ac:dyDescent="0.25">
      <c r="B22" s="13">
        <v>43601</v>
      </c>
      <c r="C22" s="5" t="s">
        <v>4</v>
      </c>
      <c r="D22" s="5" t="s">
        <v>13</v>
      </c>
      <c r="E22" s="37">
        <v>4936405</v>
      </c>
    </row>
    <row r="23" spans="2:11" x14ac:dyDescent="0.25">
      <c r="B23" s="13">
        <v>43602</v>
      </c>
      <c r="C23" s="5" t="s">
        <v>5</v>
      </c>
      <c r="D23" s="5" t="s">
        <v>13</v>
      </c>
      <c r="E23" s="37">
        <v>4607292</v>
      </c>
    </row>
    <row r="24" spans="2:11" ht="21" x14ac:dyDescent="0.35">
      <c r="B24" s="13">
        <v>43603</v>
      </c>
      <c r="C24" s="5" t="s">
        <v>8</v>
      </c>
      <c r="D24" s="5" t="s">
        <v>10</v>
      </c>
      <c r="E24" s="37">
        <v>3061662</v>
      </c>
      <c r="I24" s="73" t="s">
        <v>896</v>
      </c>
      <c r="J24" s="73"/>
      <c r="K24" s="73"/>
    </row>
    <row r="25" spans="2:11" x14ac:dyDescent="0.25">
      <c r="B25" s="13">
        <v>43604</v>
      </c>
      <c r="C25" s="5" t="s">
        <v>4</v>
      </c>
      <c r="D25" s="5" t="s">
        <v>14</v>
      </c>
      <c r="E25" s="37">
        <v>2840242</v>
      </c>
    </row>
    <row r="26" spans="2:11" x14ac:dyDescent="0.25">
      <c r="B26" s="14">
        <v>43605</v>
      </c>
      <c r="C26" s="5" t="s">
        <v>8</v>
      </c>
      <c r="D26" s="9" t="s">
        <v>10</v>
      </c>
      <c r="E26" s="37">
        <v>1527272</v>
      </c>
      <c r="I26" t="str" cm="1">
        <f t="array" ref="I26:K48">_xlfn._xlws.FILTER(C:E,E:E&gt;2000000,"Not fond")</f>
        <v>Ahmed</v>
      </c>
      <c r="J26" t="str">
        <v>Toyota</v>
      </c>
      <c r="K26">
        <v>3220227</v>
      </c>
    </row>
    <row r="27" spans="2:11" x14ac:dyDescent="0.25">
      <c r="B27" s="13">
        <v>43606</v>
      </c>
      <c r="C27" s="9" t="s">
        <v>7</v>
      </c>
      <c r="D27" s="9" t="s">
        <v>15</v>
      </c>
      <c r="E27" s="37">
        <v>4383809</v>
      </c>
      <c r="I27" t="str">
        <v>Hossam</v>
      </c>
      <c r="J27" t="str">
        <v>Jeep</v>
      </c>
      <c r="K27">
        <v>2636248</v>
      </c>
    </row>
    <row r="28" spans="2:11" x14ac:dyDescent="0.25">
      <c r="B28" s="13">
        <v>43607</v>
      </c>
      <c r="C28" s="5" t="s">
        <v>5</v>
      </c>
      <c r="D28" s="5" t="s">
        <v>12</v>
      </c>
      <c r="E28" s="37">
        <v>4776249</v>
      </c>
      <c r="I28" t="str">
        <v>Mona</v>
      </c>
      <c r="J28" t="str">
        <v>Volkswagen</v>
      </c>
      <c r="K28">
        <v>2498993</v>
      </c>
    </row>
    <row r="29" spans="2:11" x14ac:dyDescent="0.25">
      <c r="B29" s="13">
        <v>43608</v>
      </c>
      <c r="C29" s="5" t="s">
        <v>5</v>
      </c>
      <c r="D29" s="9" t="s">
        <v>12</v>
      </c>
      <c r="E29" s="37">
        <v>4023284</v>
      </c>
      <c r="I29" t="str">
        <v>Ahmed</v>
      </c>
      <c r="J29" t="str">
        <v>Kia</v>
      </c>
      <c r="K29">
        <v>3452594</v>
      </c>
    </row>
    <row r="30" spans="2:11" x14ac:dyDescent="0.25">
      <c r="B30" s="13">
        <v>43609</v>
      </c>
      <c r="C30" s="5" t="s">
        <v>7</v>
      </c>
      <c r="D30" s="5" t="s">
        <v>14</v>
      </c>
      <c r="E30" s="37">
        <v>2225535</v>
      </c>
      <c r="I30" t="str">
        <v>Ahmed</v>
      </c>
      <c r="J30" t="str">
        <v>Jeep</v>
      </c>
      <c r="K30">
        <v>4388211</v>
      </c>
    </row>
    <row r="31" spans="2:11" x14ac:dyDescent="0.25">
      <c r="B31" s="13">
        <v>43610</v>
      </c>
      <c r="C31" s="5" t="s">
        <v>3</v>
      </c>
      <c r="D31" s="5" t="s">
        <v>13</v>
      </c>
      <c r="E31" s="37">
        <v>4401079</v>
      </c>
      <c r="I31" t="str">
        <v>Mona</v>
      </c>
      <c r="J31" t="str">
        <v>Toyota</v>
      </c>
      <c r="K31">
        <v>2305153</v>
      </c>
    </row>
    <row r="32" spans="2:11" x14ac:dyDescent="0.25">
      <c r="B32" s="13">
        <v>43611</v>
      </c>
      <c r="C32" s="9" t="s">
        <v>6</v>
      </c>
      <c r="D32" s="5" t="s">
        <v>10</v>
      </c>
      <c r="E32" s="37">
        <v>4530609</v>
      </c>
      <c r="I32" t="str">
        <v>Abdullah</v>
      </c>
      <c r="J32" t="str">
        <v>Jeep</v>
      </c>
      <c r="K32">
        <v>2107092</v>
      </c>
    </row>
    <row r="33" spans="2:11" x14ac:dyDescent="0.25">
      <c r="B33" s="13">
        <v>43612</v>
      </c>
      <c r="C33" s="5" t="s">
        <v>4</v>
      </c>
      <c r="D33" s="5" t="s">
        <v>14</v>
      </c>
      <c r="E33" s="37">
        <v>1877946</v>
      </c>
      <c r="I33" t="str">
        <v>Hossam</v>
      </c>
      <c r="J33" t="str">
        <v>Volkswagen</v>
      </c>
      <c r="K33">
        <v>2813226</v>
      </c>
    </row>
    <row r="34" spans="2:11" x14ac:dyDescent="0.25">
      <c r="B34" s="14">
        <v>43613</v>
      </c>
      <c r="C34" s="5" t="s">
        <v>3</v>
      </c>
      <c r="D34" s="5" t="s">
        <v>10</v>
      </c>
      <c r="E34" s="37">
        <v>3769009</v>
      </c>
      <c r="I34" t="str">
        <v>Mona</v>
      </c>
      <c r="J34" t="str">
        <v>Volkswagen</v>
      </c>
      <c r="K34">
        <v>4765963</v>
      </c>
    </row>
    <row r="35" spans="2:11" x14ac:dyDescent="0.25">
      <c r="B35" s="13">
        <v>43614</v>
      </c>
      <c r="C35" s="5" t="s">
        <v>4</v>
      </c>
      <c r="D35" s="5" t="s">
        <v>15</v>
      </c>
      <c r="E35" s="37">
        <v>3128119</v>
      </c>
      <c r="I35" t="str">
        <v>Farida</v>
      </c>
      <c r="J35" t="str">
        <v>Jeep</v>
      </c>
      <c r="K35">
        <v>4850348</v>
      </c>
    </row>
    <row r="36" spans="2:11" x14ac:dyDescent="0.25">
      <c r="B36" s="13">
        <v>43615</v>
      </c>
      <c r="C36" s="5" t="s">
        <v>8</v>
      </c>
      <c r="D36" s="5" t="s">
        <v>12</v>
      </c>
      <c r="E36" s="37">
        <v>1175964</v>
      </c>
      <c r="I36" t="str">
        <v>Ahmed</v>
      </c>
      <c r="J36" t="str">
        <v>Kia</v>
      </c>
      <c r="K36">
        <v>4819337</v>
      </c>
    </row>
    <row r="37" spans="2:11" x14ac:dyDescent="0.25">
      <c r="I37" t="str">
        <v>Hossam</v>
      </c>
      <c r="J37" t="str">
        <v>BMW</v>
      </c>
      <c r="K37">
        <v>4936405</v>
      </c>
    </row>
    <row r="38" spans="2:11" x14ac:dyDescent="0.25">
      <c r="I38" t="str">
        <v>Abdullah</v>
      </c>
      <c r="J38" t="str">
        <v>BMW</v>
      </c>
      <c r="K38">
        <v>4607292</v>
      </c>
    </row>
    <row r="39" spans="2:11" x14ac:dyDescent="0.25">
      <c r="I39" t="str">
        <v>Ali</v>
      </c>
      <c r="J39" t="str">
        <v>Toyota</v>
      </c>
      <c r="K39">
        <v>3061662</v>
      </c>
    </row>
    <row r="40" spans="2:11" x14ac:dyDescent="0.25">
      <c r="I40" t="str">
        <v>Hossam</v>
      </c>
      <c r="J40" t="str">
        <v>Kia</v>
      </c>
      <c r="K40">
        <v>2840242</v>
      </c>
    </row>
    <row r="41" spans="2:11" x14ac:dyDescent="0.25">
      <c r="I41" t="str">
        <v>Farida</v>
      </c>
      <c r="J41" t="str">
        <v>Jeep</v>
      </c>
      <c r="K41">
        <v>4383809</v>
      </c>
    </row>
    <row r="42" spans="2:11" x14ac:dyDescent="0.25">
      <c r="I42" t="str">
        <v>Abdullah</v>
      </c>
      <c r="J42" t="str">
        <v>Volkswagen</v>
      </c>
      <c r="K42">
        <v>4776249</v>
      </c>
    </row>
    <row r="43" spans="2:11" x14ac:dyDescent="0.25">
      <c r="I43" t="str">
        <v>Abdullah</v>
      </c>
      <c r="J43" t="str">
        <v>Volkswagen</v>
      </c>
      <c r="K43">
        <v>4023284</v>
      </c>
    </row>
    <row r="44" spans="2:11" x14ac:dyDescent="0.25">
      <c r="I44" t="str">
        <v>Farida</v>
      </c>
      <c r="J44" t="str">
        <v>Kia</v>
      </c>
      <c r="K44">
        <v>2225535</v>
      </c>
    </row>
    <row r="45" spans="2:11" x14ac:dyDescent="0.25">
      <c r="I45" t="str">
        <v>Ahmed</v>
      </c>
      <c r="J45" t="str">
        <v>BMW</v>
      </c>
      <c r="K45">
        <v>4401079</v>
      </c>
    </row>
    <row r="46" spans="2:11" x14ac:dyDescent="0.25">
      <c r="I46" t="str">
        <v>Mona</v>
      </c>
      <c r="J46" t="str">
        <v>Toyota</v>
      </c>
      <c r="K46">
        <v>4530609</v>
      </c>
    </row>
    <row r="47" spans="2:11" x14ac:dyDescent="0.25">
      <c r="I47" t="str">
        <v>Ahmed</v>
      </c>
      <c r="J47" t="str">
        <v>Toyota</v>
      </c>
      <c r="K47">
        <v>3769009</v>
      </c>
    </row>
    <row r="48" spans="2:11" x14ac:dyDescent="0.25">
      <c r="I48" t="str">
        <v>Hossam</v>
      </c>
      <c r="J48" t="str">
        <v>Jeep</v>
      </c>
      <c r="K48">
        <v>3128119</v>
      </c>
    </row>
  </sheetData>
  <mergeCells count="2">
    <mergeCell ref="I24:K24"/>
    <mergeCell ref="I2:K2"/>
  </mergeCells>
  <dataValidations count="1">
    <dataValidation type="list" allowBlank="1" showInputMessage="1" showErrorMessage="1" sqref="I7" xr:uid="{1E5D0543-5B12-4A79-BBC2-DDF8F56E9931}">
      <formula1>$W$8:$W$13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6B6C-4EB7-4979-A20B-84C41251CCA4}">
  <dimension ref="D2:J1010"/>
  <sheetViews>
    <sheetView topLeftCell="B1" zoomScale="91" workbookViewId="0">
      <selection activeCell="I18" sqref="I18"/>
    </sheetView>
  </sheetViews>
  <sheetFormatPr defaultRowHeight="15" x14ac:dyDescent="0.25"/>
  <cols>
    <col min="4" max="4" width="12.85546875" bestFit="1" customWidth="1"/>
    <col min="5" max="5" width="75.5703125" customWidth="1"/>
    <col min="6" max="6" width="18" customWidth="1"/>
    <col min="8" max="8" width="29.85546875" bestFit="1" customWidth="1"/>
    <col min="9" max="9" width="16.5703125" customWidth="1"/>
  </cols>
  <sheetData>
    <row r="2" spans="4:10" x14ac:dyDescent="0.25">
      <c r="H2" s="75" t="s">
        <v>876</v>
      </c>
      <c r="I2" s="75"/>
      <c r="J2" s="75"/>
    </row>
    <row r="3" spans="4:10" x14ac:dyDescent="0.25">
      <c r="D3" s="42" t="s">
        <v>91</v>
      </c>
      <c r="E3" s="42" t="s">
        <v>92</v>
      </c>
      <c r="F3" s="42" t="s">
        <v>93</v>
      </c>
    </row>
    <row r="4" spans="4:10" x14ac:dyDescent="0.25">
      <c r="D4" s="43" t="s">
        <v>94</v>
      </c>
      <c r="E4" s="43" t="s">
        <v>95</v>
      </c>
      <c r="F4" s="43">
        <v>261.95999999999998</v>
      </c>
      <c r="H4" s="48" t="s">
        <v>877</v>
      </c>
      <c r="I4" s="46" t="s">
        <v>875</v>
      </c>
    </row>
    <row r="5" spans="4:10" x14ac:dyDescent="0.25">
      <c r="D5" s="44" t="s">
        <v>96</v>
      </c>
      <c r="E5" s="44" t="s">
        <v>97</v>
      </c>
      <c r="F5" s="44">
        <v>731.93999999999994</v>
      </c>
      <c r="H5" t="s">
        <v>878</v>
      </c>
      <c r="I5">
        <f>COUNTIFS(E:E,H5)</f>
        <v>0</v>
      </c>
    </row>
    <row r="6" spans="4:10" x14ac:dyDescent="0.25">
      <c r="D6" s="43" t="s">
        <v>98</v>
      </c>
      <c r="E6" s="43" t="s">
        <v>99</v>
      </c>
      <c r="F6" s="43">
        <v>14.62</v>
      </c>
      <c r="H6" s="44" t="s">
        <v>109</v>
      </c>
      <c r="I6">
        <f>COUNTIFS(E:E,H6)</f>
        <v>1</v>
      </c>
    </row>
    <row r="7" spans="4:10" x14ac:dyDescent="0.25">
      <c r="D7" s="44" t="s">
        <v>100</v>
      </c>
      <c r="E7" s="44" t="s">
        <v>101</v>
      </c>
      <c r="F7" s="44">
        <v>957.57749999999999</v>
      </c>
    </row>
    <row r="8" spans="4:10" x14ac:dyDescent="0.25">
      <c r="D8" s="43" t="s">
        <v>102</v>
      </c>
      <c r="E8" s="43" t="s">
        <v>103</v>
      </c>
      <c r="F8" s="43">
        <v>22.368000000000002</v>
      </c>
    </row>
    <row r="9" spans="4:10" x14ac:dyDescent="0.25">
      <c r="D9" s="44" t="s">
        <v>104</v>
      </c>
      <c r="E9" s="44" t="s">
        <v>105</v>
      </c>
      <c r="F9" s="44">
        <v>48.86</v>
      </c>
    </row>
    <row r="10" spans="4:10" x14ac:dyDescent="0.25">
      <c r="D10" s="43" t="s">
        <v>106</v>
      </c>
      <c r="E10" s="43" t="s">
        <v>107</v>
      </c>
      <c r="F10" s="43">
        <v>7.28</v>
      </c>
    </row>
    <row r="11" spans="4:10" x14ac:dyDescent="0.25">
      <c r="D11" s="44" t="s">
        <v>108</v>
      </c>
      <c r="E11" s="44" t="s">
        <v>109</v>
      </c>
      <c r="F11" s="44">
        <v>907.15200000000004</v>
      </c>
    </row>
    <row r="12" spans="4:10" x14ac:dyDescent="0.25">
      <c r="D12" s="43" t="s">
        <v>110</v>
      </c>
      <c r="E12" s="43" t="s">
        <v>111</v>
      </c>
      <c r="F12" s="43">
        <v>18.504000000000001</v>
      </c>
    </row>
    <row r="13" spans="4:10" x14ac:dyDescent="0.25">
      <c r="D13" s="44" t="s">
        <v>112</v>
      </c>
      <c r="E13" s="44" t="s">
        <v>113</v>
      </c>
      <c r="F13" s="44">
        <v>114.9</v>
      </c>
    </row>
    <row r="14" spans="4:10" x14ac:dyDescent="0.25">
      <c r="D14" s="43" t="s">
        <v>100</v>
      </c>
      <c r="E14" s="43" t="s">
        <v>114</v>
      </c>
      <c r="F14" s="43">
        <v>1706.1840000000002</v>
      </c>
    </row>
    <row r="15" spans="4:10" x14ac:dyDescent="0.25">
      <c r="D15" s="44" t="s">
        <v>108</v>
      </c>
      <c r="E15" s="44" t="s">
        <v>115</v>
      </c>
      <c r="F15" s="44">
        <v>911.42399999999998</v>
      </c>
    </row>
    <row r="16" spans="4:10" x14ac:dyDescent="0.25">
      <c r="D16" s="43" t="s">
        <v>116</v>
      </c>
      <c r="E16" s="43" t="s">
        <v>117</v>
      </c>
      <c r="F16" s="43">
        <v>15.552000000000003</v>
      </c>
    </row>
    <row r="17" spans="4:6" x14ac:dyDescent="0.25">
      <c r="D17" s="44" t="s">
        <v>110</v>
      </c>
      <c r="E17" s="44" t="s">
        <v>118</v>
      </c>
      <c r="F17" s="44">
        <v>407.97600000000006</v>
      </c>
    </row>
    <row r="18" spans="4:6" x14ac:dyDescent="0.25">
      <c r="D18" s="43" t="s">
        <v>112</v>
      </c>
      <c r="E18" s="43" t="s">
        <v>119</v>
      </c>
      <c r="F18" s="43">
        <v>68.809999999999988</v>
      </c>
    </row>
    <row r="19" spans="4:6" x14ac:dyDescent="0.25">
      <c r="D19" s="44" t="s">
        <v>110</v>
      </c>
      <c r="E19" s="44" t="s">
        <v>120</v>
      </c>
      <c r="F19" s="44">
        <v>2.5439999999999996</v>
      </c>
    </row>
    <row r="20" spans="4:6" x14ac:dyDescent="0.25">
      <c r="D20" s="43" t="s">
        <v>102</v>
      </c>
      <c r="E20" s="43" t="s">
        <v>121</v>
      </c>
      <c r="F20" s="43">
        <v>665.88</v>
      </c>
    </row>
    <row r="21" spans="4:6" x14ac:dyDescent="0.25">
      <c r="D21" s="44" t="s">
        <v>102</v>
      </c>
      <c r="E21" s="44" t="s">
        <v>122</v>
      </c>
      <c r="F21" s="44">
        <v>55.5</v>
      </c>
    </row>
    <row r="22" spans="4:6" x14ac:dyDescent="0.25">
      <c r="D22" s="43" t="s">
        <v>106</v>
      </c>
      <c r="E22" s="43" t="s">
        <v>123</v>
      </c>
      <c r="F22" s="43">
        <v>8.56</v>
      </c>
    </row>
    <row r="23" spans="4:6" x14ac:dyDescent="0.25">
      <c r="D23" s="44" t="s">
        <v>108</v>
      </c>
      <c r="E23" s="44" t="s">
        <v>124</v>
      </c>
      <c r="F23" s="44">
        <v>213.48000000000002</v>
      </c>
    </row>
    <row r="24" spans="4:6" x14ac:dyDescent="0.25">
      <c r="D24" s="43" t="s">
        <v>110</v>
      </c>
      <c r="E24" s="43" t="s">
        <v>125</v>
      </c>
      <c r="F24" s="43">
        <v>22.72</v>
      </c>
    </row>
    <row r="25" spans="4:6" x14ac:dyDescent="0.25">
      <c r="D25" s="44" t="s">
        <v>106</v>
      </c>
      <c r="E25" s="44" t="s">
        <v>126</v>
      </c>
      <c r="F25" s="44">
        <v>19.459999999999997</v>
      </c>
    </row>
    <row r="26" spans="4:6" x14ac:dyDescent="0.25">
      <c r="D26" s="43" t="s">
        <v>112</v>
      </c>
      <c r="E26" s="43" t="s">
        <v>127</v>
      </c>
      <c r="F26" s="43">
        <v>60.339999999999996</v>
      </c>
    </row>
    <row r="27" spans="4:6" x14ac:dyDescent="0.25">
      <c r="D27" s="44" t="s">
        <v>96</v>
      </c>
      <c r="E27" s="44" t="s">
        <v>128</v>
      </c>
      <c r="F27" s="44">
        <v>71.371999999999986</v>
      </c>
    </row>
    <row r="28" spans="4:6" x14ac:dyDescent="0.25">
      <c r="D28" s="43" t="s">
        <v>100</v>
      </c>
      <c r="E28" s="43" t="s">
        <v>101</v>
      </c>
      <c r="F28" s="43">
        <v>1044.6299999999999</v>
      </c>
    </row>
    <row r="29" spans="4:6" x14ac:dyDescent="0.25">
      <c r="D29" s="44" t="s">
        <v>110</v>
      </c>
      <c r="E29" s="44" t="s">
        <v>129</v>
      </c>
      <c r="F29" s="44">
        <v>11.648000000000001</v>
      </c>
    </row>
    <row r="30" spans="4:6" x14ac:dyDescent="0.25">
      <c r="D30" s="43" t="s">
        <v>130</v>
      </c>
      <c r="E30" s="43" t="s">
        <v>131</v>
      </c>
      <c r="F30" s="43">
        <v>90.570000000000007</v>
      </c>
    </row>
    <row r="31" spans="4:6" x14ac:dyDescent="0.25">
      <c r="D31" s="44" t="s">
        <v>94</v>
      </c>
      <c r="E31" s="44" t="s">
        <v>132</v>
      </c>
      <c r="F31" s="44">
        <v>3083.4300000000003</v>
      </c>
    </row>
    <row r="32" spans="4:6" x14ac:dyDescent="0.25">
      <c r="D32" s="43" t="s">
        <v>110</v>
      </c>
      <c r="E32" s="43" t="s">
        <v>133</v>
      </c>
      <c r="F32" s="43">
        <v>9.6180000000000021</v>
      </c>
    </row>
    <row r="33" spans="4:6" x14ac:dyDescent="0.25">
      <c r="D33" s="44" t="s">
        <v>104</v>
      </c>
      <c r="E33" s="44" t="s">
        <v>134</v>
      </c>
      <c r="F33" s="44">
        <v>124.20000000000002</v>
      </c>
    </row>
    <row r="34" spans="4:6" x14ac:dyDescent="0.25">
      <c r="D34" s="43" t="s">
        <v>135</v>
      </c>
      <c r="E34" s="43" t="s">
        <v>136</v>
      </c>
      <c r="F34" s="43">
        <v>3.2640000000000002</v>
      </c>
    </row>
    <row r="35" spans="4:6" x14ac:dyDescent="0.25">
      <c r="D35" s="44" t="s">
        <v>106</v>
      </c>
      <c r="E35" s="44" t="s">
        <v>137</v>
      </c>
      <c r="F35" s="44">
        <v>86.304000000000002</v>
      </c>
    </row>
    <row r="36" spans="4:6" x14ac:dyDescent="0.25">
      <c r="D36" s="43" t="s">
        <v>110</v>
      </c>
      <c r="E36" s="43" t="s">
        <v>138</v>
      </c>
      <c r="F36" s="43">
        <v>6.8580000000000014</v>
      </c>
    </row>
    <row r="37" spans="4:6" x14ac:dyDescent="0.25">
      <c r="D37" s="44" t="s">
        <v>106</v>
      </c>
      <c r="E37" s="44" t="s">
        <v>139</v>
      </c>
      <c r="F37" s="44">
        <v>15.76</v>
      </c>
    </row>
    <row r="38" spans="4:6" x14ac:dyDescent="0.25">
      <c r="D38" s="43" t="s">
        <v>116</v>
      </c>
      <c r="E38" s="43" t="s">
        <v>140</v>
      </c>
      <c r="F38" s="43">
        <v>29.472000000000001</v>
      </c>
    </row>
    <row r="39" spans="4:6" x14ac:dyDescent="0.25">
      <c r="D39" s="44" t="s">
        <v>108</v>
      </c>
      <c r="E39" s="44" t="s">
        <v>141</v>
      </c>
      <c r="F39" s="44">
        <v>1097.5440000000003</v>
      </c>
    </row>
    <row r="40" spans="4:6" x14ac:dyDescent="0.25">
      <c r="D40" s="43" t="s">
        <v>104</v>
      </c>
      <c r="E40" s="43" t="s">
        <v>142</v>
      </c>
      <c r="F40" s="43">
        <v>190.92</v>
      </c>
    </row>
    <row r="41" spans="4:6" x14ac:dyDescent="0.25">
      <c r="D41" s="44" t="s">
        <v>135</v>
      </c>
      <c r="E41" s="44" t="s">
        <v>143</v>
      </c>
      <c r="F41" s="44">
        <v>113.328</v>
      </c>
    </row>
    <row r="42" spans="4:6" x14ac:dyDescent="0.25">
      <c r="D42" s="43" t="s">
        <v>96</v>
      </c>
      <c r="E42" s="43" t="s">
        <v>144</v>
      </c>
      <c r="F42" s="43">
        <v>212.05799999999999</v>
      </c>
    </row>
    <row r="43" spans="4:6" x14ac:dyDescent="0.25">
      <c r="D43" s="44" t="s">
        <v>108</v>
      </c>
      <c r="E43" s="44" t="s">
        <v>145</v>
      </c>
      <c r="F43" s="44">
        <v>371.16800000000001</v>
      </c>
    </row>
    <row r="44" spans="4:6" x14ac:dyDescent="0.25">
      <c r="D44" s="43" t="s">
        <v>108</v>
      </c>
      <c r="E44" s="43" t="s">
        <v>146</v>
      </c>
      <c r="F44" s="43">
        <v>147.16800000000001</v>
      </c>
    </row>
    <row r="45" spans="4:6" x14ac:dyDescent="0.25">
      <c r="D45" s="44" t="s">
        <v>102</v>
      </c>
      <c r="E45" s="44" t="s">
        <v>147</v>
      </c>
      <c r="F45" s="44">
        <v>77.88</v>
      </c>
    </row>
    <row r="46" spans="4:6" x14ac:dyDescent="0.25">
      <c r="D46" s="43" t="s">
        <v>102</v>
      </c>
      <c r="E46" s="43" t="s">
        <v>148</v>
      </c>
      <c r="F46" s="43">
        <v>95.616</v>
      </c>
    </row>
    <row r="47" spans="4:6" x14ac:dyDescent="0.25">
      <c r="D47" s="44" t="s">
        <v>130</v>
      </c>
      <c r="E47" s="44" t="s">
        <v>149</v>
      </c>
      <c r="F47" s="44">
        <v>45.98</v>
      </c>
    </row>
    <row r="48" spans="4:6" x14ac:dyDescent="0.25">
      <c r="D48" s="43" t="s">
        <v>110</v>
      </c>
      <c r="E48" s="43" t="s">
        <v>150</v>
      </c>
      <c r="F48" s="43">
        <v>17.46</v>
      </c>
    </row>
    <row r="49" spans="4:6" x14ac:dyDescent="0.25">
      <c r="D49" s="44" t="s">
        <v>102</v>
      </c>
      <c r="E49" s="44" t="s">
        <v>151</v>
      </c>
      <c r="F49" s="44">
        <v>211.96</v>
      </c>
    </row>
    <row r="50" spans="4:6" x14ac:dyDescent="0.25">
      <c r="D50" s="43" t="s">
        <v>130</v>
      </c>
      <c r="E50" s="43" t="s">
        <v>152</v>
      </c>
      <c r="F50" s="43">
        <v>45</v>
      </c>
    </row>
    <row r="51" spans="4:6" x14ac:dyDescent="0.25">
      <c r="D51" s="44" t="s">
        <v>108</v>
      </c>
      <c r="E51" s="44" t="s">
        <v>153</v>
      </c>
      <c r="F51" s="44">
        <v>21.8</v>
      </c>
    </row>
    <row r="52" spans="4:6" x14ac:dyDescent="0.25">
      <c r="D52" s="43" t="s">
        <v>110</v>
      </c>
      <c r="E52" s="43" t="s">
        <v>154</v>
      </c>
      <c r="F52" s="43">
        <v>38.22</v>
      </c>
    </row>
    <row r="53" spans="4:6" x14ac:dyDescent="0.25">
      <c r="D53" s="44" t="s">
        <v>98</v>
      </c>
      <c r="E53" s="44" t="s">
        <v>155</v>
      </c>
      <c r="F53" s="44">
        <v>75.179999999999993</v>
      </c>
    </row>
    <row r="54" spans="4:6" x14ac:dyDescent="0.25">
      <c r="D54" s="43" t="s">
        <v>104</v>
      </c>
      <c r="E54" s="43" t="s">
        <v>156</v>
      </c>
      <c r="F54" s="43">
        <v>6.16</v>
      </c>
    </row>
    <row r="55" spans="4:6" x14ac:dyDescent="0.25">
      <c r="D55" s="44" t="s">
        <v>96</v>
      </c>
      <c r="E55" s="44" t="s">
        <v>157</v>
      </c>
      <c r="F55" s="44">
        <v>89.99</v>
      </c>
    </row>
    <row r="56" spans="4:6" x14ac:dyDescent="0.25">
      <c r="D56" s="43" t="s">
        <v>158</v>
      </c>
      <c r="E56" s="43" t="s">
        <v>159</v>
      </c>
      <c r="F56" s="43">
        <v>15.260000000000002</v>
      </c>
    </row>
    <row r="57" spans="4:6" x14ac:dyDescent="0.25">
      <c r="D57" s="44" t="s">
        <v>108</v>
      </c>
      <c r="E57" s="44" t="s">
        <v>160</v>
      </c>
      <c r="F57" s="44">
        <v>1029.95</v>
      </c>
    </row>
    <row r="58" spans="4:6" x14ac:dyDescent="0.25">
      <c r="D58" s="43" t="s">
        <v>102</v>
      </c>
      <c r="E58" s="43" t="s">
        <v>161</v>
      </c>
      <c r="F58" s="43">
        <v>208.56</v>
      </c>
    </row>
    <row r="59" spans="4:6" x14ac:dyDescent="0.25">
      <c r="D59" s="44" t="s">
        <v>116</v>
      </c>
      <c r="E59" s="44" t="s">
        <v>162</v>
      </c>
      <c r="F59" s="44">
        <v>32.400000000000006</v>
      </c>
    </row>
    <row r="60" spans="4:6" x14ac:dyDescent="0.25">
      <c r="D60" s="43" t="s">
        <v>96</v>
      </c>
      <c r="E60" s="43" t="s">
        <v>163</v>
      </c>
      <c r="F60" s="43">
        <v>319.41000000000003</v>
      </c>
    </row>
    <row r="61" spans="4:6" x14ac:dyDescent="0.25">
      <c r="D61" s="44" t="s">
        <v>116</v>
      </c>
      <c r="E61" s="44" t="s">
        <v>164</v>
      </c>
      <c r="F61" s="44">
        <v>14.56</v>
      </c>
    </row>
    <row r="62" spans="4:6" x14ac:dyDescent="0.25">
      <c r="D62" s="43" t="s">
        <v>130</v>
      </c>
      <c r="E62" s="43" t="s">
        <v>152</v>
      </c>
      <c r="F62" s="43">
        <v>30</v>
      </c>
    </row>
    <row r="63" spans="4:6" x14ac:dyDescent="0.25">
      <c r="D63" s="44" t="s">
        <v>110</v>
      </c>
      <c r="E63" s="44" t="s">
        <v>165</v>
      </c>
      <c r="F63" s="44">
        <v>48.480000000000004</v>
      </c>
    </row>
    <row r="64" spans="4:6" x14ac:dyDescent="0.25">
      <c r="D64" s="43" t="s">
        <v>106</v>
      </c>
      <c r="E64" s="43" t="s">
        <v>166</v>
      </c>
      <c r="F64" s="43">
        <v>1.68</v>
      </c>
    </row>
    <row r="65" spans="4:6" x14ac:dyDescent="0.25">
      <c r="D65" s="44" t="s">
        <v>130</v>
      </c>
      <c r="E65" s="44" t="s">
        <v>167</v>
      </c>
      <c r="F65" s="44">
        <v>13.98</v>
      </c>
    </row>
    <row r="66" spans="4:6" x14ac:dyDescent="0.25">
      <c r="D66" s="43" t="s">
        <v>110</v>
      </c>
      <c r="E66" s="43" t="s">
        <v>168</v>
      </c>
      <c r="F66" s="43">
        <v>25.824000000000002</v>
      </c>
    </row>
    <row r="67" spans="4:6" x14ac:dyDescent="0.25">
      <c r="D67" s="44" t="s">
        <v>116</v>
      </c>
      <c r="E67" s="44" t="s">
        <v>169</v>
      </c>
      <c r="F67" s="44">
        <v>146.72999999999999</v>
      </c>
    </row>
    <row r="68" spans="4:6" x14ac:dyDescent="0.25">
      <c r="D68" s="43" t="s">
        <v>104</v>
      </c>
      <c r="E68" s="43" t="s">
        <v>170</v>
      </c>
      <c r="F68" s="43">
        <v>79.760000000000005</v>
      </c>
    </row>
    <row r="69" spans="4:6" x14ac:dyDescent="0.25">
      <c r="D69" s="44" t="s">
        <v>96</v>
      </c>
      <c r="E69" s="44" t="s">
        <v>171</v>
      </c>
      <c r="F69" s="44">
        <v>213.11499999999998</v>
      </c>
    </row>
    <row r="70" spans="4:6" x14ac:dyDescent="0.25">
      <c r="D70" s="43" t="s">
        <v>106</v>
      </c>
      <c r="E70" s="43" t="s">
        <v>172</v>
      </c>
      <c r="F70" s="43">
        <v>1113.0240000000001</v>
      </c>
    </row>
    <row r="71" spans="4:6" x14ac:dyDescent="0.25">
      <c r="D71" s="44" t="s">
        <v>108</v>
      </c>
      <c r="E71" s="44" t="s">
        <v>173</v>
      </c>
      <c r="F71" s="44">
        <v>167.96800000000002</v>
      </c>
    </row>
    <row r="72" spans="4:6" x14ac:dyDescent="0.25">
      <c r="D72" s="43" t="s">
        <v>116</v>
      </c>
      <c r="E72" s="43" t="s">
        <v>174</v>
      </c>
      <c r="F72" s="43">
        <v>75.88</v>
      </c>
    </row>
    <row r="73" spans="4:6" x14ac:dyDescent="0.25">
      <c r="D73" s="44" t="s">
        <v>110</v>
      </c>
      <c r="E73" s="44" t="s">
        <v>175</v>
      </c>
      <c r="F73" s="44">
        <v>4.6159999999999997</v>
      </c>
    </row>
    <row r="74" spans="4:6" x14ac:dyDescent="0.25">
      <c r="D74" s="43" t="s">
        <v>116</v>
      </c>
      <c r="E74" s="43" t="s">
        <v>176</v>
      </c>
      <c r="F74" s="43">
        <v>19.049999999999997</v>
      </c>
    </row>
    <row r="75" spans="4:6" x14ac:dyDescent="0.25">
      <c r="D75" s="44" t="s">
        <v>96</v>
      </c>
      <c r="E75" s="44" t="s">
        <v>177</v>
      </c>
      <c r="F75" s="44">
        <v>831.93600000000015</v>
      </c>
    </row>
    <row r="76" spans="4:6" x14ac:dyDescent="0.25">
      <c r="D76" s="43" t="s">
        <v>104</v>
      </c>
      <c r="E76" s="43" t="s">
        <v>178</v>
      </c>
      <c r="F76" s="43">
        <v>97.04</v>
      </c>
    </row>
    <row r="77" spans="4:6" x14ac:dyDescent="0.25">
      <c r="D77" s="44" t="s">
        <v>102</v>
      </c>
      <c r="E77" s="44" t="s">
        <v>179</v>
      </c>
      <c r="F77" s="44">
        <v>72.784000000000006</v>
      </c>
    </row>
    <row r="78" spans="4:6" x14ac:dyDescent="0.25">
      <c r="D78" s="43" t="s">
        <v>110</v>
      </c>
      <c r="E78" s="43" t="s">
        <v>180</v>
      </c>
      <c r="F78" s="43">
        <v>1.2479999999999998</v>
      </c>
    </row>
    <row r="79" spans="4:6" x14ac:dyDescent="0.25">
      <c r="D79" s="44" t="s">
        <v>104</v>
      </c>
      <c r="E79" s="44" t="s">
        <v>181</v>
      </c>
      <c r="F79" s="44">
        <v>9.7080000000000002</v>
      </c>
    </row>
    <row r="80" spans="4:6" x14ac:dyDescent="0.25">
      <c r="D80" s="43" t="s">
        <v>102</v>
      </c>
      <c r="E80" s="43" t="s">
        <v>182</v>
      </c>
      <c r="F80" s="43">
        <v>27.240000000000002</v>
      </c>
    </row>
    <row r="81" spans="4:6" x14ac:dyDescent="0.25">
      <c r="D81" s="44" t="s">
        <v>104</v>
      </c>
      <c r="E81" s="44" t="s">
        <v>183</v>
      </c>
      <c r="F81" s="44">
        <v>19.3</v>
      </c>
    </row>
    <row r="82" spans="4:6" x14ac:dyDescent="0.25">
      <c r="D82" s="43" t="s">
        <v>112</v>
      </c>
      <c r="E82" s="43" t="s">
        <v>184</v>
      </c>
      <c r="F82" s="43">
        <v>208.16</v>
      </c>
    </row>
    <row r="83" spans="4:6" x14ac:dyDescent="0.25">
      <c r="D83" s="44" t="s">
        <v>110</v>
      </c>
      <c r="E83" s="44" t="s">
        <v>185</v>
      </c>
      <c r="F83" s="44">
        <v>16.740000000000002</v>
      </c>
    </row>
    <row r="84" spans="4:6" x14ac:dyDescent="0.25">
      <c r="D84" s="43" t="s">
        <v>106</v>
      </c>
      <c r="E84" s="43" t="s">
        <v>186</v>
      </c>
      <c r="F84" s="43">
        <v>14.9</v>
      </c>
    </row>
    <row r="85" spans="4:6" x14ac:dyDescent="0.25">
      <c r="D85" s="44" t="s">
        <v>102</v>
      </c>
      <c r="E85" s="44" t="s">
        <v>187</v>
      </c>
      <c r="F85" s="44">
        <v>21.39</v>
      </c>
    </row>
    <row r="86" spans="4:6" x14ac:dyDescent="0.25">
      <c r="D86" s="43" t="s">
        <v>135</v>
      </c>
      <c r="E86" s="43" t="s">
        <v>188</v>
      </c>
      <c r="F86" s="43">
        <v>200.98400000000004</v>
      </c>
    </row>
    <row r="87" spans="4:6" x14ac:dyDescent="0.25">
      <c r="D87" s="44" t="s">
        <v>102</v>
      </c>
      <c r="E87" s="44" t="s">
        <v>189</v>
      </c>
      <c r="F87" s="44">
        <v>230.376</v>
      </c>
    </row>
    <row r="88" spans="4:6" x14ac:dyDescent="0.25">
      <c r="D88" s="43" t="s">
        <v>96</v>
      </c>
      <c r="E88" s="43" t="s">
        <v>190</v>
      </c>
      <c r="F88" s="43">
        <v>301.95999999999998</v>
      </c>
    </row>
    <row r="89" spans="4:6" x14ac:dyDescent="0.25">
      <c r="D89" s="44" t="s">
        <v>130</v>
      </c>
      <c r="E89" s="44" t="s">
        <v>191</v>
      </c>
      <c r="F89" s="44">
        <v>19.989999999999998</v>
      </c>
    </row>
    <row r="90" spans="4:6" x14ac:dyDescent="0.25">
      <c r="D90" s="43" t="s">
        <v>98</v>
      </c>
      <c r="E90" s="43" t="s">
        <v>192</v>
      </c>
      <c r="F90" s="43">
        <v>6.16</v>
      </c>
    </row>
    <row r="91" spans="4:6" x14ac:dyDescent="0.25">
      <c r="D91" s="44" t="s">
        <v>102</v>
      </c>
      <c r="E91" s="44" t="s">
        <v>193</v>
      </c>
      <c r="F91" s="44">
        <v>158.36800000000002</v>
      </c>
    </row>
    <row r="92" spans="4:6" x14ac:dyDescent="0.25">
      <c r="D92" s="43" t="s">
        <v>106</v>
      </c>
      <c r="E92" s="43" t="s">
        <v>194</v>
      </c>
      <c r="F92" s="43">
        <v>20.100000000000001</v>
      </c>
    </row>
    <row r="93" spans="4:6" x14ac:dyDescent="0.25">
      <c r="D93" s="44" t="s">
        <v>108</v>
      </c>
      <c r="E93" s="44" t="s">
        <v>146</v>
      </c>
      <c r="F93" s="44">
        <v>73.584000000000003</v>
      </c>
    </row>
    <row r="94" spans="4:6" x14ac:dyDescent="0.25">
      <c r="D94" s="43" t="s">
        <v>116</v>
      </c>
      <c r="E94" s="43" t="s">
        <v>195</v>
      </c>
      <c r="F94" s="43">
        <v>6.48</v>
      </c>
    </row>
    <row r="95" spans="4:6" x14ac:dyDescent="0.25">
      <c r="D95" s="44" t="s">
        <v>116</v>
      </c>
      <c r="E95" s="44" t="s">
        <v>196</v>
      </c>
      <c r="F95" s="44">
        <v>12.96</v>
      </c>
    </row>
    <row r="96" spans="4:6" x14ac:dyDescent="0.25">
      <c r="D96" s="43" t="s">
        <v>104</v>
      </c>
      <c r="E96" s="43" t="s">
        <v>197</v>
      </c>
      <c r="F96" s="43">
        <v>53.34</v>
      </c>
    </row>
    <row r="97" spans="4:6" x14ac:dyDescent="0.25">
      <c r="D97" s="44" t="s">
        <v>110</v>
      </c>
      <c r="E97" s="44" t="s">
        <v>198</v>
      </c>
      <c r="F97" s="44">
        <v>32.96</v>
      </c>
    </row>
    <row r="98" spans="4:6" x14ac:dyDescent="0.25">
      <c r="D98" s="43" t="s">
        <v>110</v>
      </c>
      <c r="E98" s="43" t="s">
        <v>199</v>
      </c>
      <c r="F98" s="43">
        <v>5.6820000000000013</v>
      </c>
    </row>
    <row r="99" spans="4:6" x14ac:dyDescent="0.25">
      <c r="D99" s="44" t="s">
        <v>104</v>
      </c>
      <c r="E99" s="44" t="s">
        <v>200</v>
      </c>
      <c r="F99" s="44">
        <v>96.53</v>
      </c>
    </row>
    <row r="100" spans="4:6" x14ac:dyDescent="0.25">
      <c r="D100" s="43" t="s">
        <v>110</v>
      </c>
      <c r="E100" s="43" t="s">
        <v>201</v>
      </c>
      <c r="F100" s="43">
        <v>51.311999999999998</v>
      </c>
    </row>
    <row r="101" spans="4:6" x14ac:dyDescent="0.25">
      <c r="D101" s="44" t="s">
        <v>112</v>
      </c>
      <c r="E101" s="44" t="s">
        <v>202</v>
      </c>
      <c r="F101" s="44">
        <v>77.88</v>
      </c>
    </row>
    <row r="102" spans="4:6" x14ac:dyDescent="0.25">
      <c r="D102" s="43" t="s">
        <v>116</v>
      </c>
      <c r="E102" s="43" t="s">
        <v>203</v>
      </c>
      <c r="F102" s="43">
        <v>64.623999999999995</v>
      </c>
    </row>
    <row r="103" spans="4:6" x14ac:dyDescent="0.25">
      <c r="D103" s="44" t="s">
        <v>130</v>
      </c>
      <c r="E103" s="44" t="s">
        <v>204</v>
      </c>
      <c r="F103" s="44">
        <v>95.976000000000013</v>
      </c>
    </row>
    <row r="104" spans="4:6" x14ac:dyDescent="0.25">
      <c r="D104" s="43" t="s">
        <v>110</v>
      </c>
      <c r="E104" s="43" t="s">
        <v>205</v>
      </c>
      <c r="F104" s="43">
        <v>1.7879999999999996</v>
      </c>
    </row>
    <row r="105" spans="4:6" x14ac:dyDescent="0.25">
      <c r="D105" s="44" t="s">
        <v>116</v>
      </c>
      <c r="E105" s="44" t="s">
        <v>206</v>
      </c>
      <c r="F105" s="44">
        <v>23.92</v>
      </c>
    </row>
    <row r="106" spans="4:6" x14ac:dyDescent="0.25">
      <c r="D106" s="43" t="s">
        <v>130</v>
      </c>
      <c r="E106" s="43" t="s">
        <v>207</v>
      </c>
      <c r="F106" s="43">
        <v>238.89600000000002</v>
      </c>
    </row>
    <row r="107" spans="4:6" x14ac:dyDescent="0.25">
      <c r="D107" s="44" t="s">
        <v>104</v>
      </c>
      <c r="E107" s="44" t="s">
        <v>208</v>
      </c>
      <c r="F107" s="44">
        <v>102.35999999999999</v>
      </c>
    </row>
    <row r="108" spans="4:6" x14ac:dyDescent="0.25">
      <c r="D108" s="43" t="s">
        <v>110</v>
      </c>
      <c r="E108" s="43" t="s">
        <v>209</v>
      </c>
      <c r="F108" s="43">
        <v>36.882000000000005</v>
      </c>
    </row>
    <row r="109" spans="4:6" x14ac:dyDescent="0.25">
      <c r="D109" s="44" t="s">
        <v>130</v>
      </c>
      <c r="E109" s="44" t="s">
        <v>210</v>
      </c>
      <c r="F109" s="44">
        <v>74.112000000000009</v>
      </c>
    </row>
    <row r="110" spans="4:6" x14ac:dyDescent="0.25">
      <c r="D110" s="43" t="s">
        <v>108</v>
      </c>
      <c r="E110" s="43" t="s">
        <v>211</v>
      </c>
      <c r="F110" s="43">
        <v>27.992000000000004</v>
      </c>
    </row>
    <row r="111" spans="4:6" x14ac:dyDescent="0.25">
      <c r="D111" s="44" t="s">
        <v>130</v>
      </c>
      <c r="E111" s="44" t="s">
        <v>212</v>
      </c>
      <c r="F111" s="44">
        <v>339.96000000000004</v>
      </c>
    </row>
    <row r="112" spans="4:6" x14ac:dyDescent="0.25">
      <c r="D112" s="43" t="s">
        <v>104</v>
      </c>
      <c r="E112" s="43" t="s">
        <v>213</v>
      </c>
      <c r="F112" s="43">
        <v>41.96</v>
      </c>
    </row>
    <row r="113" spans="4:6" x14ac:dyDescent="0.25">
      <c r="D113" s="44" t="s">
        <v>106</v>
      </c>
      <c r="E113" s="44" t="s">
        <v>214</v>
      </c>
      <c r="F113" s="44">
        <v>75.959999999999994</v>
      </c>
    </row>
    <row r="114" spans="4:6" x14ac:dyDescent="0.25">
      <c r="D114" s="43" t="s">
        <v>110</v>
      </c>
      <c r="E114" s="43" t="s">
        <v>215</v>
      </c>
      <c r="F114" s="43">
        <v>27.240000000000002</v>
      </c>
    </row>
    <row r="115" spans="4:6" x14ac:dyDescent="0.25">
      <c r="D115" s="44" t="s">
        <v>158</v>
      </c>
      <c r="E115" s="44" t="s">
        <v>216</v>
      </c>
      <c r="F115" s="44">
        <v>40.096000000000004</v>
      </c>
    </row>
    <row r="116" spans="4:6" x14ac:dyDescent="0.25">
      <c r="D116" s="43" t="s">
        <v>135</v>
      </c>
      <c r="E116" s="43" t="s">
        <v>217</v>
      </c>
      <c r="F116" s="43">
        <v>4.7200000000000006</v>
      </c>
    </row>
    <row r="117" spans="4:6" x14ac:dyDescent="0.25">
      <c r="D117" s="44" t="s">
        <v>116</v>
      </c>
      <c r="E117" s="44" t="s">
        <v>218</v>
      </c>
      <c r="F117" s="44">
        <v>23.976000000000003</v>
      </c>
    </row>
    <row r="118" spans="4:6" x14ac:dyDescent="0.25">
      <c r="D118" s="43" t="s">
        <v>135</v>
      </c>
      <c r="E118" s="43" t="s">
        <v>219</v>
      </c>
      <c r="F118" s="43">
        <v>130.464</v>
      </c>
    </row>
    <row r="119" spans="4:6" x14ac:dyDescent="0.25">
      <c r="D119" s="44" t="s">
        <v>100</v>
      </c>
      <c r="E119" s="44" t="s">
        <v>220</v>
      </c>
      <c r="F119" s="44">
        <v>787.53</v>
      </c>
    </row>
    <row r="120" spans="4:6" x14ac:dyDescent="0.25">
      <c r="D120" s="43" t="s">
        <v>110</v>
      </c>
      <c r="E120" s="43" t="s">
        <v>221</v>
      </c>
      <c r="F120" s="43">
        <v>157.79400000000004</v>
      </c>
    </row>
    <row r="121" spans="4:6" x14ac:dyDescent="0.25">
      <c r="D121" s="44" t="s">
        <v>104</v>
      </c>
      <c r="E121" s="44" t="s">
        <v>222</v>
      </c>
      <c r="F121" s="44">
        <v>47.04</v>
      </c>
    </row>
    <row r="122" spans="4:6" x14ac:dyDescent="0.25">
      <c r="D122" s="43" t="s">
        <v>110</v>
      </c>
      <c r="E122" s="43" t="s">
        <v>111</v>
      </c>
      <c r="F122" s="43">
        <v>30.84</v>
      </c>
    </row>
    <row r="123" spans="4:6" x14ac:dyDescent="0.25">
      <c r="D123" s="44" t="s">
        <v>102</v>
      </c>
      <c r="E123" s="44" t="s">
        <v>223</v>
      </c>
      <c r="F123" s="44">
        <v>226.56</v>
      </c>
    </row>
    <row r="124" spans="4:6" x14ac:dyDescent="0.25">
      <c r="D124" s="43" t="s">
        <v>135</v>
      </c>
      <c r="E124" s="43" t="s">
        <v>224</v>
      </c>
      <c r="F124" s="43">
        <v>115.02</v>
      </c>
    </row>
    <row r="125" spans="4:6" x14ac:dyDescent="0.25">
      <c r="D125" s="44" t="s">
        <v>108</v>
      </c>
      <c r="E125" s="44" t="s">
        <v>225</v>
      </c>
      <c r="F125" s="44">
        <v>68.040000000000006</v>
      </c>
    </row>
    <row r="126" spans="4:6" x14ac:dyDescent="0.25">
      <c r="D126" s="43" t="s">
        <v>96</v>
      </c>
      <c r="E126" s="43" t="s">
        <v>226</v>
      </c>
      <c r="F126" s="43">
        <v>600.55799999999999</v>
      </c>
    </row>
    <row r="127" spans="4:6" x14ac:dyDescent="0.25">
      <c r="D127" s="44" t="s">
        <v>100</v>
      </c>
      <c r="E127" s="44" t="s">
        <v>227</v>
      </c>
      <c r="F127" s="44">
        <v>617.70000000000005</v>
      </c>
    </row>
    <row r="128" spans="4:6" x14ac:dyDescent="0.25">
      <c r="D128" s="43" t="s">
        <v>110</v>
      </c>
      <c r="E128" s="43" t="s">
        <v>228</v>
      </c>
      <c r="F128" s="43">
        <v>2.3880000000000003</v>
      </c>
    </row>
    <row r="129" spans="4:6" x14ac:dyDescent="0.25">
      <c r="D129" s="44" t="s">
        <v>102</v>
      </c>
      <c r="E129" s="44" t="s">
        <v>229</v>
      </c>
      <c r="F129" s="44">
        <v>243.99200000000002</v>
      </c>
    </row>
    <row r="130" spans="4:6" x14ac:dyDescent="0.25">
      <c r="D130" s="43" t="s">
        <v>96</v>
      </c>
      <c r="E130" s="43" t="s">
        <v>230</v>
      </c>
      <c r="F130" s="43">
        <v>81.424000000000007</v>
      </c>
    </row>
    <row r="131" spans="4:6" x14ac:dyDescent="0.25">
      <c r="D131" s="44" t="s">
        <v>104</v>
      </c>
      <c r="E131" s="44" t="s">
        <v>231</v>
      </c>
      <c r="F131" s="44">
        <v>238.56</v>
      </c>
    </row>
    <row r="132" spans="4:6" x14ac:dyDescent="0.25">
      <c r="D132" s="43" t="s">
        <v>108</v>
      </c>
      <c r="E132" s="43" t="s">
        <v>232</v>
      </c>
      <c r="F132" s="43">
        <v>59.969999999999992</v>
      </c>
    </row>
    <row r="133" spans="4:6" x14ac:dyDescent="0.25">
      <c r="D133" s="44" t="s">
        <v>116</v>
      </c>
      <c r="E133" s="44" t="s">
        <v>233</v>
      </c>
      <c r="F133" s="44">
        <v>78.304000000000002</v>
      </c>
    </row>
    <row r="134" spans="4:6" x14ac:dyDescent="0.25">
      <c r="D134" s="43" t="s">
        <v>158</v>
      </c>
      <c r="E134" s="43" t="s">
        <v>234</v>
      </c>
      <c r="F134" s="43">
        <v>21.456</v>
      </c>
    </row>
    <row r="135" spans="4:6" x14ac:dyDescent="0.25">
      <c r="D135" s="44" t="s">
        <v>116</v>
      </c>
      <c r="E135" s="44" t="s">
        <v>235</v>
      </c>
      <c r="F135" s="44">
        <v>20.04</v>
      </c>
    </row>
    <row r="136" spans="4:6" x14ac:dyDescent="0.25">
      <c r="D136" s="43" t="s">
        <v>116</v>
      </c>
      <c r="E136" s="43" t="s">
        <v>236</v>
      </c>
      <c r="F136" s="43">
        <v>35.44</v>
      </c>
    </row>
    <row r="137" spans="4:6" x14ac:dyDescent="0.25">
      <c r="D137" s="44" t="s">
        <v>106</v>
      </c>
      <c r="E137" s="44" t="s">
        <v>237</v>
      </c>
      <c r="F137" s="44">
        <v>11.52</v>
      </c>
    </row>
    <row r="138" spans="4:6" x14ac:dyDescent="0.25">
      <c r="D138" s="43" t="s">
        <v>158</v>
      </c>
      <c r="E138" s="43" t="s">
        <v>238</v>
      </c>
      <c r="F138" s="43">
        <v>4.0199999999999996</v>
      </c>
    </row>
    <row r="139" spans="4:6" x14ac:dyDescent="0.25">
      <c r="D139" s="44" t="s">
        <v>110</v>
      </c>
      <c r="E139" s="44" t="s">
        <v>239</v>
      </c>
      <c r="F139" s="44">
        <v>76.176000000000002</v>
      </c>
    </row>
    <row r="140" spans="4:6" x14ac:dyDescent="0.25">
      <c r="D140" s="43" t="s">
        <v>240</v>
      </c>
      <c r="E140" s="43" t="s">
        <v>241</v>
      </c>
      <c r="F140" s="43">
        <v>65.88</v>
      </c>
    </row>
    <row r="141" spans="4:6" x14ac:dyDescent="0.25">
      <c r="D141" s="44" t="s">
        <v>104</v>
      </c>
      <c r="E141" s="44" t="s">
        <v>156</v>
      </c>
      <c r="F141" s="44">
        <v>43.120000000000005</v>
      </c>
    </row>
    <row r="142" spans="4:6" x14ac:dyDescent="0.25">
      <c r="D142" s="43" t="s">
        <v>104</v>
      </c>
      <c r="E142" s="43" t="s">
        <v>134</v>
      </c>
      <c r="F142" s="43">
        <v>82.800000000000011</v>
      </c>
    </row>
    <row r="143" spans="4:6" x14ac:dyDescent="0.25">
      <c r="D143" s="44" t="s">
        <v>106</v>
      </c>
      <c r="E143" s="44" t="s">
        <v>242</v>
      </c>
      <c r="F143" s="44">
        <v>8.82</v>
      </c>
    </row>
    <row r="144" spans="4:6" x14ac:dyDescent="0.25">
      <c r="D144" s="43" t="s">
        <v>135</v>
      </c>
      <c r="E144" s="43" t="s">
        <v>243</v>
      </c>
      <c r="F144" s="43">
        <v>10.86</v>
      </c>
    </row>
    <row r="145" spans="4:6" x14ac:dyDescent="0.25">
      <c r="D145" s="44" t="s">
        <v>116</v>
      </c>
      <c r="E145" s="44" t="s">
        <v>244</v>
      </c>
      <c r="F145" s="44">
        <v>143.69999999999999</v>
      </c>
    </row>
    <row r="146" spans="4:6" x14ac:dyDescent="0.25">
      <c r="D146" s="43" t="s">
        <v>112</v>
      </c>
      <c r="E146" s="43" t="s">
        <v>245</v>
      </c>
      <c r="F146" s="43">
        <v>839.43000000000006</v>
      </c>
    </row>
    <row r="147" spans="4:6" x14ac:dyDescent="0.25">
      <c r="D147" s="44" t="s">
        <v>102</v>
      </c>
      <c r="E147" s="44" t="s">
        <v>189</v>
      </c>
      <c r="F147" s="44">
        <v>671.93</v>
      </c>
    </row>
    <row r="148" spans="4:6" x14ac:dyDescent="0.25">
      <c r="D148" s="43" t="s">
        <v>104</v>
      </c>
      <c r="E148" s="43" t="s">
        <v>246</v>
      </c>
      <c r="F148" s="43">
        <v>93.888000000000005</v>
      </c>
    </row>
    <row r="149" spans="4:6" x14ac:dyDescent="0.25">
      <c r="D149" s="44" t="s">
        <v>108</v>
      </c>
      <c r="E149" s="44" t="s">
        <v>247</v>
      </c>
      <c r="F149" s="44">
        <v>384.45000000000005</v>
      </c>
    </row>
    <row r="150" spans="4:6" x14ac:dyDescent="0.25">
      <c r="D150" s="43" t="s">
        <v>108</v>
      </c>
      <c r="E150" s="43" t="s">
        <v>248</v>
      </c>
      <c r="F150" s="43">
        <v>149.97</v>
      </c>
    </row>
    <row r="151" spans="4:6" x14ac:dyDescent="0.25">
      <c r="D151" s="44" t="s">
        <v>96</v>
      </c>
      <c r="E151" s="44" t="s">
        <v>97</v>
      </c>
      <c r="F151" s="44">
        <v>1951.84</v>
      </c>
    </row>
    <row r="152" spans="4:6" x14ac:dyDescent="0.25">
      <c r="D152" s="43" t="s">
        <v>110</v>
      </c>
      <c r="E152" s="43" t="s">
        <v>249</v>
      </c>
      <c r="F152" s="43">
        <v>171.55</v>
      </c>
    </row>
    <row r="153" spans="4:6" x14ac:dyDescent="0.25">
      <c r="D153" s="44" t="s">
        <v>112</v>
      </c>
      <c r="E153" s="44" t="s">
        <v>250</v>
      </c>
      <c r="F153" s="44">
        <v>157.91999999999999</v>
      </c>
    </row>
    <row r="154" spans="4:6" x14ac:dyDescent="0.25">
      <c r="D154" s="43" t="s">
        <v>108</v>
      </c>
      <c r="E154" s="43" t="s">
        <v>251</v>
      </c>
      <c r="F154" s="43">
        <v>203.184</v>
      </c>
    </row>
    <row r="155" spans="4:6" x14ac:dyDescent="0.25">
      <c r="D155" s="44" t="s">
        <v>116</v>
      </c>
      <c r="E155" s="44" t="s">
        <v>252</v>
      </c>
      <c r="F155" s="44">
        <v>58.379999999999995</v>
      </c>
    </row>
    <row r="156" spans="4:6" x14ac:dyDescent="0.25">
      <c r="D156" s="43" t="s">
        <v>116</v>
      </c>
      <c r="E156" s="43" t="s">
        <v>253</v>
      </c>
      <c r="F156" s="43">
        <v>105.52</v>
      </c>
    </row>
    <row r="157" spans="4:6" x14ac:dyDescent="0.25">
      <c r="D157" s="44" t="s">
        <v>102</v>
      </c>
      <c r="E157" s="44" t="s">
        <v>254</v>
      </c>
      <c r="F157" s="44">
        <v>80.88</v>
      </c>
    </row>
    <row r="158" spans="4:6" x14ac:dyDescent="0.25">
      <c r="D158" s="43" t="s">
        <v>106</v>
      </c>
      <c r="E158" s="43" t="s">
        <v>255</v>
      </c>
      <c r="F158" s="43">
        <v>6.63</v>
      </c>
    </row>
    <row r="159" spans="4:6" x14ac:dyDescent="0.25">
      <c r="D159" s="44" t="s">
        <v>96</v>
      </c>
      <c r="E159" s="44" t="s">
        <v>226</v>
      </c>
      <c r="F159" s="44">
        <v>457.56800000000004</v>
      </c>
    </row>
    <row r="160" spans="4:6" x14ac:dyDescent="0.25">
      <c r="D160" s="43" t="s">
        <v>98</v>
      </c>
      <c r="E160" s="43" t="s">
        <v>256</v>
      </c>
      <c r="F160" s="43">
        <v>14.62</v>
      </c>
    </row>
    <row r="161" spans="4:6" x14ac:dyDescent="0.25">
      <c r="D161" s="44" t="s">
        <v>108</v>
      </c>
      <c r="E161" s="44" t="s">
        <v>257</v>
      </c>
      <c r="F161" s="44">
        <v>944.93000000000006</v>
      </c>
    </row>
    <row r="162" spans="4:6" x14ac:dyDescent="0.25">
      <c r="D162" s="43" t="s">
        <v>116</v>
      </c>
      <c r="E162" s="43" t="s">
        <v>258</v>
      </c>
      <c r="F162" s="43">
        <v>5.98</v>
      </c>
    </row>
    <row r="163" spans="4:6" x14ac:dyDescent="0.25">
      <c r="D163" s="44" t="s">
        <v>130</v>
      </c>
      <c r="E163" s="44" t="s">
        <v>259</v>
      </c>
      <c r="F163" s="44">
        <v>54.384000000000007</v>
      </c>
    </row>
    <row r="164" spans="4:6" x14ac:dyDescent="0.25">
      <c r="D164" s="43" t="s">
        <v>135</v>
      </c>
      <c r="E164" s="43" t="s">
        <v>260</v>
      </c>
      <c r="F164" s="43">
        <v>28.4</v>
      </c>
    </row>
    <row r="165" spans="4:6" x14ac:dyDescent="0.25">
      <c r="D165" s="44" t="s">
        <v>110</v>
      </c>
      <c r="E165" s="44" t="s">
        <v>261</v>
      </c>
      <c r="F165" s="44">
        <v>27.680000000000003</v>
      </c>
    </row>
    <row r="166" spans="4:6" x14ac:dyDescent="0.25">
      <c r="D166" s="43" t="s">
        <v>106</v>
      </c>
      <c r="E166" s="43" t="s">
        <v>262</v>
      </c>
      <c r="F166" s="43">
        <v>9.9359999999999999</v>
      </c>
    </row>
    <row r="167" spans="4:6" x14ac:dyDescent="0.25">
      <c r="D167" s="44" t="s">
        <v>263</v>
      </c>
      <c r="E167" s="44" t="s">
        <v>264</v>
      </c>
      <c r="F167" s="44">
        <v>8159.9519999999993</v>
      </c>
    </row>
    <row r="168" spans="4:6" x14ac:dyDescent="0.25">
      <c r="D168" s="43" t="s">
        <v>102</v>
      </c>
      <c r="E168" s="43" t="s">
        <v>265</v>
      </c>
      <c r="F168" s="43">
        <v>275.928</v>
      </c>
    </row>
    <row r="169" spans="4:6" x14ac:dyDescent="0.25">
      <c r="D169" s="44" t="s">
        <v>106</v>
      </c>
      <c r="E169" s="44" t="s">
        <v>266</v>
      </c>
      <c r="F169" s="44">
        <v>32.064</v>
      </c>
    </row>
    <row r="170" spans="4:6" x14ac:dyDescent="0.25">
      <c r="D170" s="43" t="s">
        <v>112</v>
      </c>
      <c r="E170" s="43" t="s">
        <v>267</v>
      </c>
      <c r="F170" s="43">
        <v>177.97999999999996</v>
      </c>
    </row>
    <row r="171" spans="4:6" x14ac:dyDescent="0.25">
      <c r="D171" s="44" t="s">
        <v>108</v>
      </c>
      <c r="E171" s="44" t="s">
        <v>268</v>
      </c>
      <c r="F171" s="44">
        <v>143.976</v>
      </c>
    </row>
    <row r="172" spans="4:6" x14ac:dyDescent="0.25">
      <c r="D172" s="43" t="s">
        <v>116</v>
      </c>
      <c r="E172" s="43" t="s">
        <v>269</v>
      </c>
      <c r="F172" s="43">
        <v>20.94</v>
      </c>
    </row>
    <row r="173" spans="4:6" x14ac:dyDescent="0.25">
      <c r="D173" s="44" t="s">
        <v>116</v>
      </c>
      <c r="E173" s="44" t="s">
        <v>270</v>
      </c>
      <c r="F173" s="44">
        <v>110.96</v>
      </c>
    </row>
    <row r="174" spans="4:6" x14ac:dyDescent="0.25">
      <c r="D174" s="43" t="s">
        <v>96</v>
      </c>
      <c r="E174" s="43" t="s">
        <v>271</v>
      </c>
      <c r="F174" s="43">
        <v>340.14400000000006</v>
      </c>
    </row>
    <row r="175" spans="4:6" x14ac:dyDescent="0.25">
      <c r="D175" s="44" t="s">
        <v>112</v>
      </c>
      <c r="E175" s="44" t="s">
        <v>272</v>
      </c>
      <c r="F175" s="44">
        <v>52.447999999999993</v>
      </c>
    </row>
    <row r="176" spans="4:6" x14ac:dyDescent="0.25">
      <c r="D176" s="43" t="s">
        <v>98</v>
      </c>
      <c r="E176" s="43" t="s">
        <v>273</v>
      </c>
      <c r="F176" s="43">
        <v>20.16</v>
      </c>
    </row>
    <row r="177" spans="4:6" x14ac:dyDescent="0.25">
      <c r="D177" s="44" t="s">
        <v>112</v>
      </c>
      <c r="E177" s="44" t="s">
        <v>274</v>
      </c>
      <c r="F177" s="44">
        <v>97.263999999999982</v>
      </c>
    </row>
    <row r="178" spans="4:6" x14ac:dyDescent="0.25">
      <c r="D178" s="43" t="s">
        <v>240</v>
      </c>
      <c r="E178" s="43" t="s">
        <v>275</v>
      </c>
      <c r="F178" s="43">
        <v>15.88</v>
      </c>
    </row>
    <row r="179" spans="4:6" x14ac:dyDescent="0.25">
      <c r="D179" s="44" t="s">
        <v>106</v>
      </c>
      <c r="E179" s="44" t="s">
        <v>276</v>
      </c>
      <c r="F179" s="44">
        <v>3.28</v>
      </c>
    </row>
    <row r="180" spans="4:6" x14ac:dyDescent="0.25">
      <c r="D180" s="43" t="s">
        <v>102</v>
      </c>
      <c r="E180" s="43" t="s">
        <v>277</v>
      </c>
      <c r="F180" s="43">
        <v>24.816000000000003</v>
      </c>
    </row>
    <row r="181" spans="4:6" x14ac:dyDescent="0.25">
      <c r="D181" s="44" t="s">
        <v>130</v>
      </c>
      <c r="E181" s="44" t="s">
        <v>278</v>
      </c>
      <c r="F181" s="44">
        <v>408.74399999999997</v>
      </c>
    </row>
    <row r="182" spans="4:6" x14ac:dyDescent="0.25">
      <c r="D182" s="43" t="s">
        <v>108</v>
      </c>
      <c r="E182" s="43" t="s">
        <v>279</v>
      </c>
      <c r="F182" s="43">
        <v>503.96</v>
      </c>
    </row>
    <row r="183" spans="4:6" x14ac:dyDescent="0.25">
      <c r="D183" s="44" t="s">
        <v>108</v>
      </c>
      <c r="E183" s="44" t="s">
        <v>280</v>
      </c>
      <c r="F183" s="44">
        <v>149.94999999999999</v>
      </c>
    </row>
    <row r="184" spans="4:6" x14ac:dyDescent="0.25">
      <c r="D184" s="43" t="s">
        <v>130</v>
      </c>
      <c r="E184" s="43" t="s">
        <v>281</v>
      </c>
      <c r="F184" s="43">
        <v>29</v>
      </c>
    </row>
    <row r="185" spans="4:6" x14ac:dyDescent="0.25">
      <c r="D185" s="44" t="s">
        <v>110</v>
      </c>
      <c r="E185" s="44" t="s">
        <v>282</v>
      </c>
      <c r="F185" s="44">
        <v>7.16</v>
      </c>
    </row>
    <row r="186" spans="4:6" x14ac:dyDescent="0.25">
      <c r="D186" s="43" t="s">
        <v>130</v>
      </c>
      <c r="E186" s="43" t="s">
        <v>283</v>
      </c>
      <c r="F186" s="43">
        <v>176.8</v>
      </c>
    </row>
    <row r="187" spans="4:6" x14ac:dyDescent="0.25">
      <c r="D187" s="44" t="s">
        <v>102</v>
      </c>
      <c r="E187" s="44" t="s">
        <v>284</v>
      </c>
      <c r="F187" s="44">
        <v>37.224000000000004</v>
      </c>
    </row>
    <row r="188" spans="4:6" x14ac:dyDescent="0.25">
      <c r="D188" s="43" t="s">
        <v>116</v>
      </c>
      <c r="E188" s="43" t="s">
        <v>252</v>
      </c>
      <c r="F188" s="43">
        <v>20.016000000000002</v>
      </c>
    </row>
    <row r="189" spans="4:6" x14ac:dyDescent="0.25">
      <c r="D189" s="44" t="s">
        <v>94</v>
      </c>
      <c r="E189" s="44" t="s">
        <v>285</v>
      </c>
      <c r="F189" s="44">
        <v>899.13600000000008</v>
      </c>
    </row>
    <row r="190" spans="4:6" x14ac:dyDescent="0.25">
      <c r="D190" s="43" t="s">
        <v>108</v>
      </c>
      <c r="E190" s="43" t="s">
        <v>286</v>
      </c>
      <c r="F190" s="43">
        <v>71.760000000000005</v>
      </c>
    </row>
    <row r="191" spans="4:6" x14ac:dyDescent="0.25">
      <c r="D191" s="44" t="s">
        <v>116</v>
      </c>
      <c r="E191" s="44" t="s">
        <v>287</v>
      </c>
      <c r="F191" s="44">
        <v>51.84</v>
      </c>
    </row>
    <row r="192" spans="4:6" x14ac:dyDescent="0.25">
      <c r="D192" s="43" t="s">
        <v>94</v>
      </c>
      <c r="E192" s="43" t="s">
        <v>288</v>
      </c>
      <c r="F192" s="43">
        <v>626.35200000000009</v>
      </c>
    </row>
    <row r="193" spans="4:6" x14ac:dyDescent="0.25">
      <c r="D193" s="44" t="s">
        <v>106</v>
      </c>
      <c r="E193" s="44" t="s">
        <v>289</v>
      </c>
      <c r="F193" s="44">
        <v>19.899999999999999</v>
      </c>
    </row>
    <row r="194" spans="4:6" x14ac:dyDescent="0.25">
      <c r="D194" s="43" t="s">
        <v>135</v>
      </c>
      <c r="E194" s="43" t="s">
        <v>136</v>
      </c>
      <c r="F194" s="43">
        <v>14.280000000000001</v>
      </c>
    </row>
    <row r="195" spans="4:6" x14ac:dyDescent="0.25">
      <c r="D195" s="44" t="s">
        <v>106</v>
      </c>
      <c r="E195" s="44" t="s">
        <v>290</v>
      </c>
      <c r="F195" s="44">
        <v>7.4080000000000004</v>
      </c>
    </row>
    <row r="196" spans="4:6" x14ac:dyDescent="0.25">
      <c r="D196" s="43" t="s">
        <v>106</v>
      </c>
      <c r="E196" s="43" t="s">
        <v>291</v>
      </c>
      <c r="F196" s="43">
        <v>6.048</v>
      </c>
    </row>
    <row r="197" spans="4:6" x14ac:dyDescent="0.25">
      <c r="D197" s="44" t="s">
        <v>102</v>
      </c>
      <c r="E197" s="44" t="s">
        <v>292</v>
      </c>
      <c r="F197" s="44">
        <v>46.26</v>
      </c>
    </row>
    <row r="198" spans="4:6" x14ac:dyDescent="0.25">
      <c r="D198" s="43" t="s">
        <v>110</v>
      </c>
      <c r="E198" s="43" t="s">
        <v>293</v>
      </c>
      <c r="F198" s="43">
        <v>2.9460000000000006</v>
      </c>
    </row>
    <row r="199" spans="4:6" x14ac:dyDescent="0.25">
      <c r="D199" s="44" t="s">
        <v>116</v>
      </c>
      <c r="E199" s="44" t="s">
        <v>294</v>
      </c>
      <c r="F199" s="44">
        <v>16.056000000000001</v>
      </c>
    </row>
    <row r="200" spans="4:6" x14ac:dyDescent="0.25">
      <c r="D200" s="43" t="s">
        <v>116</v>
      </c>
      <c r="E200" s="43" t="s">
        <v>295</v>
      </c>
      <c r="F200" s="43">
        <v>21.744000000000003</v>
      </c>
    </row>
    <row r="201" spans="4:6" x14ac:dyDescent="0.25">
      <c r="D201" s="44" t="s">
        <v>100</v>
      </c>
      <c r="E201" s="44" t="s">
        <v>296</v>
      </c>
      <c r="F201" s="44">
        <v>218.75</v>
      </c>
    </row>
    <row r="202" spans="4:6" x14ac:dyDescent="0.25">
      <c r="D202" s="43" t="s">
        <v>112</v>
      </c>
      <c r="E202" s="43" t="s">
        <v>297</v>
      </c>
      <c r="F202" s="43">
        <v>2.6</v>
      </c>
    </row>
    <row r="203" spans="4:6" x14ac:dyDescent="0.25">
      <c r="D203" s="44" t="s">
        <v>112</v>
      </c>
      <c r="E203" s="44" t="s">
        <v>298</v>
      </c>
      <c r="F203" s="44">
        <v>66.283999999999992</v>
      </c>
    </row>
    <row r="204" spans="4:6" x14ac:dyDescent="0.25">
      <c r="D204" s="43" t="s">
        <v>104</v>
      </c>
      <c r="E204" s="43" t="s">
        <v>299</v>
      </c>
      <c r="F204" s="43">
        <v>35.168000000000006</v>
      </c>
    </row>
    <row r="205" spans="4:6" x14ac:dyDescent="0.25">
      <c r="D205" s="44" t="s">
        <v>108</v>
      </c>
      <c r="E205" s="44" t="s">
        <v>300</v>
      </c>
      <c r="F205" s="44">
        <v>444.76800000000003</v>
      </c>
    </row>
    <row r="206" spans="4:6" x14ac:dyDescent="0.25">
      <c r="D206" s="43" t="s">
        <v>102</v>
      </c>
      <c r="E206" s="43" t="s">
        <v>301</v>
      </c>
      <c r="F206" s="43">
        <v>83.92</v>
      </c>
    </row>
    <row r="207" spans="4:6" x14ac:dyDescent="0.25">
      <c r="D207" s="44" t="s">
        <v>108</v>
      </c>
      <c r="E207" s="44" t="s">
        <v>302</v>
      </c>
      <c r="F207" s="44">
        <v>131.97999999999999</v>
      </c>
    </row>
    <row r="208" spans="4:6" x14ac:dyDescent="0.25">
      <c r="D208" s="43" t="s">
        <v>110</v>
      </c>
      <c r="E208" s="43" t="s">
        <v>228</v>
      </c>
      <c r="F208" s="43">
        <v>15.92</v>
      </c>
    </row>
    <row r="209" spans="4:6" x14ac:dyDescent="0.25">
      <c r="D209" s="44" t="s">
        <v>158</v>
      </c>
      <c r="E209" s="44" t="s">
        <v>303</v>
      </c>
      <c r="F209" s="44">
        <v>52.29</v>
      </c>
    </row>
    <row r="210" spans="4:6" x14ac:dyDescent="0.25">
      <c r="D210" s="43" t="s">
        <v>102</v>
      </c>
      <c r="E210" s="43" t="s">
        <v>304</v>
      </c>
      <c r="F210" s="43">
        <v>91.99</v>
      </c>
    </row>
    <row r="211" spans="4:6" x14ac:dyDescent="0.25">
      <c r="D211" s="44" t="s">
        <v>130</v>
      </c>
      <c r="E211" s="44" t="s">
        <v>305</v>
      </c>
      <c r="F211" s="44">
        <v>20.8</v>
      </c>
    </row>
    <row r="212" spans="4:6" x14ac:dyDescent="0.25">
      <c r="D212" s="43" t="s">
        <v>98</v>
      </c>
      <c r="E212" s="43" t="s">
        <v>306</v>
      </c>
      <c r="F212" s="43">
        <v>23.680000000000003</v>
      </c>
    </row>
    <row r="213" spans="4:6" x14ac:dyDescent="0.25">
      <c r="D213" s="44" t="s">
        <v>94</v>
      </c>
      <c r="E213" s="44" t="s">
        <v>307</v>
      </c>
      <c r="F213" s="44">
        <v>452.45</v>
      </c>
    </row>
    <row r="214" spans="4:6" x14ac:dyDescent="0.25">
      <c r="D214" s="43" t="s">
        <v>108</v>
      </c>
      <c r="E214" s="43" t="s">
        <v>211</v>
      </c>
      <c r="F214" s="43">
        <v>62.981999999999999</v>
      </c>
    </row>
    <row r="215" spans="4:6" x14ac:dyDescent="0.25">
      <c r="D215" s="44" t="s">
        <v>263</v>
      </c>
      <c r="E215" s="44" t="s">
        <v>308</v>
      </c>
      <c r="F215" s="44">
        <v>1188.0000000000002</v>
      </c>
    </row>
    <row r="216" spans="4:6" x14ac:dyDescent="0.25">
      <c r="D216" s="43" t="s">
        <v>130</v>
      </c>
      <c r="E216" s="43" t="s">
        <v>309</v>
      </c>
      <c r="F216" s="43">
        <v>89.584000000000003</v>
      </c>
    </row>
    <row r="217" spans="4:6" x14ac:dyDescent="0.25">
      <c r="D217" s="44" t="s">
        <v>102</v>
      </c>
      <c r="E217" s="44" t="s">
        <v>284</v>
      </c>
      <c r="F217" s="44">
        <v>93.06</v>
      </c>
    </row>
    <row r="218" spans="4:6" x14ac:dyDescent="0.25">
      <c r="D218" s="43" t="s">
        <v>108</v>
      </c>
      <c r="E218" s="43" t="s">
        <v>310</v>
      </c>
      <c r="F218" s="43">
        <v>302.37599999999998</v>
      </c>
    </row>
    <row r="219" spans="4:6" x14ac:dyDescent="0.25">
      <c r="D219" s="44" t="s">
        <v>158</v>
      </c>
      <c r="E219" s="44" t="s">
        <v>311</v>
      </c>
      <c r="F219" s="44">
        <v>5.5840000000000005</v>
      </c>
    </row>
    <row r="220" spans="4:6" x14ac:dyDescent="0.25">
      <c r="D220" s="43" t="s">
        <v>116</v>
      </c>
      <c r="E220" s="43" t="s">
        <v>312</v>
      </c>
      <c r="F220" s="43">
        <v>22.704000000000004</v>
      </c>
    </row>
    <row r="221" spans="4:6" x14ac:dyDescent="0.25">
      <c r="D221" s="44" t="s">
        <v>110</v>
      </c>
      <c r="E221" s="44" t="s">
        <v>198</v>
      </c>
      <c r="F221" s="44">
        <v>19.776000000000003</v>
      </c>
    </row>
    <row r="222" spans="4:6" x14ac:dyDescent="0.25">
      <c r="D222" s="43" t="s">
        <v>104</v>
      </c>
      <c r="E222" s="43" t="s">
        <v>313</v>
      </c>
      <c r="F222" s="43">
        <v>72.703999999999994</v>
      </c>
    </row>
    <row r="223" spans="4:6" x14ac:dyDescent="0.25">
      <c r="D223" s="44" t="s">
        <v>263</v>
      </c>
      <c r="E223" s="44" t="s">
        <v>314</v>
      </c>
      <c r="F223" s="44">
        <v>479.98800000000006</v>
      </c>
    </row>
    <row r="224" spans="4:6" x14ac:dyDescent="0.25">
      <c r="D224" s="43" t="s">
        <v>106</v>
      </c>
      <c r="E224" s="43" t="s">
        <v>315</v>
      </c>
      <c r="F224" s="43">
        <v>27.168000000000003</v>
      </c>
    </row>
    <row r="225" spans="4:6" x14ac:dyDescent="0.25">
      <c r="D225" s="44" t="s">
        <v>106</v>
      </c>
      <c r="E225" s="44" t="s">
        <v>316</v>
      </c>
      <c r="F225" s="44">
        <v>2.2000000000000002</v>
      </c>
    </row>
    <row r="226" spans="4:6" x14ac:dyDescent="0.25">
      <c r="D226" s="43" t="s">
        <v>100</v>
      </c>
      <c r="E226" s="43" t="s">
        <v>317</v>
      </c>
      <c r="F226" s="43">
        <v>622.44999999999993</v>
      </c>
    </row>
    <row r="227" spans="4:6" x14ac:dyDescent="0.25">
      <c r="D227" s="44" t="s">
        <v>102</v>
      </c>
      <c r="E227" s="44" t="s">
        <v>318</v>
      </c>
      <c r="F227" s="44">
        <v>21.98</v>
      </c>
    </row>
    <row r="228" spans="4:6" x14ac:dyDescent="0.25">
      <c r="D228" s="43" t="s">
        <v>96</v>
      </c>
      <c r="E228" s="43" t="s">
        <v>319</v>
      </c>
      <c r="F228" s="43">
        <v>161.56800000000001</v>
      </c>
    </row>
    <row r="229" spans="4:6" x14ac:dyDescent="0.25">
      <c r="D229" s="44" t="s">
        <v>96</v>
      </c>
      <c r="E229" s="44" t="s">
        <v>320</v>
      </c>
      <c r="F229" s="44">
        <v>389.69600000000003</v>
      </c>
    </row>
    <row r="230" spans="4:6" x14ac:dyDescent="0.25">
      <c r="D230" s="43" t="s">
        <v>110</v>
      </c>
      <c r="E230" s="43" t="s">
        <v>321</v>
      </c>
      <c r="F230" s="43">
        <v>18.648000000000003</v>
      </c>
    </row>
    <row r="231" spans="4:6" x14ac:dyDescent="0.25">
      <c r="D231" s="44" t="s">
        <v>100</v>
      </c>
      <c r="E231" s="44" t="s">
        <v>322</v>
      </c>
      <c r="F231" s="44">
        <v>233.86</v>
      </c>
    </row>
    <row r="232" spans="4:6" x14ac:dyDescent="0.25">
      <c r="D232" s="43" t="s">
        <v>100</v>
      </c>
      <c r="E232" s="43" t="s">
        <v>323</v>
      </c>
      <c r="F232" s="43">
        <v>620.61450000000013</v>
      </c>
    </row>
    <row r="233" spans="4:6" x14ac:dyDescent="0.25">
      <c r="D233" s="44" t="s">
        <v>110</v>
      </c>
      <c r="E233" s="44" t="s">
        <v>321</v>
      </c>
      <c r="F233" s="44">
        <v>5.3280000000000012</v>
      </c>
    </row>
    <row r="234" spans="4:6" x14ac:dyDescent="0.25">
      <c r="D234" s="43" t="s">
        <v>104</v>
      </c>
      <c r="E234" s="43" t="s">
        <v>324</v>
      </c>
      <c r="F234" s="43">
        <v>258.072</v>
      </c>
    </row>
    <row r="235" spans="4:6" x14ac:dyDescent="0.25">
      <c r="D235" s="44" t="s">
        <v>130</v>
      </c>
      <c r="E235" s="44" t="s">
        <v>325</v>
      </c>
      <c r="F235" s="44">
        <v>617.97600000000011</v>
      </c>
    </row>
    <row r="236" spans="4:6" x14ac:dyDescent="0.25">
      <c r="D236" s="43" t="s">
        <v>116</v>
      </c>
      <c r="E236" s="43" t="s">
        <v>326</v>
      </c>
      <c r="F236" s="43">
        <v>10.56</v>
      </c>
    </row>
    <row r="237" spans="4:6" x14ac:dyDescent="0.25">
      <c r="D237" s="44" t="s">
        <v>116</v>
      </c>
      <c r="E237" s="44" t="s">
        <v>327</v>
      </c>
      <c r="F237" s="44">
        <v>25.920000000000005</v>
      </c>
    </row>
    <row r="238" spans="4:6" x14ac:dyDescent="0.25">
      <c r="D238" s="43" t="s">
        <v>104</v>
      </c>
      <c r="E238" s="43" t="s">
        <v>328</v>
      </c>
      <c r="F238" s="43">
        <v>419.68000000000006</v>
      </c>
    </row>
    <row r="239" spans="4:6" x14ac:dyDescent="0.25">
      <c r="D239" s="44" t="s">
        <v>104</v>
      </c>
      <c r="E239" s="44" t="s">
        <v>329</v>
      </c>
      <c r="F239" s="44">
        <v>11.688000000000001</v>
      </c>
    </row>
    <row r="240" spans="4:6" x14ac:dyDescent="0.25">
      <c r="D240" s="43" t="s">
        <v>108</v>
      </c>
      <c r="E240" s="43" t="s">
        <v>330</v>
      </c>
      <c r="F240" s="43">
        <v>31.983999999999998</v>
      </c>
    </row>
    <row r="241" spans="4:6" x14ac:dyDescent="0.25">
      <c r="D241" s="44" t="s">
        <v>100</v>
      </c>
      <c r="E241" s="44" t="s">
        <v>331</v>
      </c>
      <c r="F241" s="44">
        <v>177.22499999999999</v>
      </c>
    </row>
    <row r="242" spans="4:6" x14ac:dyDescent="0.25">
      <c r="D242" s="43" t="s">
        <v>104</v>
      </c>
      <c r="E242" s="43" t="s">
        <v>332</v>
      </c>
      <c r="F242" s="43">
        <v>4.0440000000000005</v>
      </c>
    </row>
    <row r="243" spans="4:6" x14ac:dyDescent="0.25">
      <c r="D243" s="44" t="s">
        <v>106</v>
      </c>
      <c r="E243" s="44" t="s">
        <v>290</v>
      </c>
      <c r="F243" s="44">
        <v>7.4080000000000004</v>
      </c>
    </row>
    <row r="244" spans="4:6" x14ac:dyDescent="0.25">
      <c r="D244" s="43" t="s">
        <v>96</v>
      </c>
      <c r="E244" s="43" t="s">
        <v>226</v>
      </c>
      <c r="F244" s="43">
        <v>2001.8600000000001</v>
      </c>
    </row>
    <row r="245" spans="4:6" x14ac:dyDescent="0.25">
      <c r="D245" s="44" t="s">
        <v>102</v>
      </c>
      <c r="E245" s="44" t="s">
        <v>333</v>
      </c>
      <c r="F245" s="44">
        <v>166.72</v>
      </c>
    </row>
    <row r="246" spans="4:6" x14ac:dyDescent="0.25">
      <c r="D246" s="43" t="s">
        <v>116</v>
      </c>
      <c r="E246" s="43" t="s">
        <v>334</v>
      </c>
      <c r="F246" s="43">
        <v>47.88</v>
      </c>
    </row>
    <row r="247" spans="4:6" x14ac:dyDescent="0.25">
      <c r="D247" s="44" t="s">
        <v>112</v>
      </c>
      <c r="E247" s="44" t="s">
        <v>335</v>
      </c>
      <c r="F247" s="44">
        <v>1503.25</v>
      </c>
    </row>
    <row r="248" spans="4:6" x14ac:dyDescent="0.25">
      <c r="D248" s="43" t="s">
        <v>116</v>
      </c>
      <c r="E248" s="43" t="s">
        <v>287</v>
      </c>
      <c r="F248" s="43">
        <v>25.92</v>
      </c>
    </row>
    <row r="249" spans="4:6" x14ac:dyDescent="0.25">
      <c r="D249" s="44" t="s">
        <v>96</v>
      </c>
      <c r="E249" s="44" t="s">
        <v>336</v>
      </c>
      <c r="F249" s="44">
        <v>321.56799999999998</v>
      </c>
    </row>
    <row r="250" spans="4:6" x14ac:dyDescent="0.25">
      <c r="D250" s="43" t="s">
        <v>116</v>
      </c>
      <c r="E250" s="43" t="s">
        <v>337</v>
      </c>
      <c r="F250" s="43">
        <v>7.61</v>
      </c>
    </row>
    <row r="251" spans="4:6" x14ac:dyDescent="0.25">
      <c r="D251" s="44" t="s">
        <v>130</v>
      </c>
      <c r="E251" s="44" t="s">
        <v>325</v>
      </c>
      <c r="F251" s="44">
        <v>3347.37</v>
      </c>
    </row>
    <row r="252" spans="4:6" x14ac:dyDescent="0.25">
      <c r="D252" s="43" t="s">
        <v>102</v>
      </c>
      <c r="E252" s="43" t="s">
        <v>338</v>
      </c>
      <c r="F252" s="43">
        <v>80.58</v>
      </c>
    </row>
    <row r="253" spans="4:6" x14ac:dyDescent="0.25">
      <c r="D253" s="44" t="s">
        <v>135</v>
      </c>
      <c r="E253" s="44" t="s">
        <v>339</v>
      </c>
      <c r="F253" s="44">
        <v>361.92</v>
      </c>
    </row>
    <row r="254" spans="4:6" x14ac:dyDescent="0.25">
      <c r="D254" s="43" t="s">
        <v>104</v>
      </c>
      <c r="E254" s="43" t="s">
        <v>332</v>
      </c>
      <c r="F254" s="43">
        <v>12.132000000000001</v>
      </c>
    </row>
    <row r="255" spans="4:6" x14ac:dyDescent="0.25">
      <c r="D255" s="44" t="s">
        <v>102</v>
      </c>
      <c r="E255" s="44" t="s">
        <v>340</v>
      </c>
      <c r="F255" s="44">
        <v>82.367999999999995</v>
      </c>
    </row>
    <row r="256" spans="4:6" x14ac:dyDescent="0.25">
      <c r="D256" s="43" t="s">
        <v>102</v>
      </c>
      <c r="E256" s="43" t="s">
        <v>254</v>
      </c>
      <c r="F256" s="43">
        <v>53.92</v>
      </c>
    </row>
    <row r="257" spans="4:6" x14ac:dyDescent="0.25">
      <c r="D257" s="44" t="s">
        <v>108</v>
      </c>
      <c r="E257" s="44" t="s">
        <v>341</v>
      </c>
      <c r="F257" s="44">
        <v>647.904</v>
      </c>
    </row>
    <row r="258" spans="4:6" x14ac:dyDescent="0.25">
      <c r="D258" s="43" t="s">
        <v>130</v>
      </c>
      <c r="E258" s="43" t="s">
        <v>342</v>
      </c>
      <c r="F258" s="43">
        <v>20.37</v>
      </c>
    </row>
    <row r="259" spans="4:6" x14ac:dyDescent="0.25">
      <c r="D259" s="44" t="s">
        <v>102</v>
      </c>
      <c r="E259" s="44" t="s">
        <v>343</v>
      </c>
      <c r="F259" s="44">
        <v>221.54999999999998</v>
      </c>
    </row>
    <row r="260" spans="4:6" x14ac:dyDescent="0.25">
      <c r="D260" s="43" t="s">
        <v>110</v>
      </c>
      <c r="E260" s="43" t="s">
        <v>344</v>
      </c>
      <c r="F260" s="43">
        <v>17.52</v>
      </c>
    </row>
    <row r="261" spans="4:6" x14ac:dyDescent="0.25">
      <c r="D261" s="44" t="s">
        <v>112</v>
      </c>
      <c r="E261" s="44" t="s">
        <v>345</v>
      </c>
      <c r="F261" s="44">
        <v>1.6239999999999994</v>
      </c>
    </row>
    <row r="262" spans="4:6" x14ac:dyDescent="0.25">
      <c r="D262" s="43" t="s">
        <v>263</v>
      </c>
      <c r="E262" s="43" t="s">
        <v>264</v>
      </c>
      <c r="F262" s="43">
        <v>3059.982</v>
      </c>
    </row>
    <row r="263" spans="4:6" x14ac:dyDescent="0.25">
      <c r="D263" s="44" t="s">
        <v>263</v>
      </c>
      <c r="E263" s="44" t="s">
        <v>346</v>
      </c>
      <c r="F263" s="44">
        <v>2519.9579999999996</v>
      </c>
    </row>
    <row r="264" spans="4:6" x14ac:dyDescent="0.25">
      <c r="D264" s="43" t="s">
        <v>108</v>
      </c>
      <c r="E264" s="43" t="s">
        <v>347</v>
      </c>
      <c r="F264" s="43">
        <v>328.22399999999999</v>
      </c>
    </row>
    <row r="265" spans="4:6" x14ac:dyDescent="0.25">
      <c r="D265" s="44" t="s">
        <v>130</v>
      </c>
      <c r="E265" s="44" t="s">
        <v>348</v>
      </c>
      <c r="F265" s="44">
        <v>79.900000000000006</v>
      </c>
    </row>
    <row r="266" spans="4:6" x14ac:dyDescent="0.25">
      <c r="D266" s="43" t="s">
        <v>106</v>
      </c>
      <c r="E266" s="43" t="s">
        <v>349</v>
      </c>
      <c r="F266" s="43">
        <v>14.015999999999998</v>
      </c>
    </row>
    <row r="267" spans="4:6" x14ac:dyDescent="0.25">
      <c r="D267" s="44" t="s">
        <v>158</v>
      </c>
      <c r="E267" s="44" t="s">
        <v>350</v>
      </c>
      <c r="F267" s="44">
        <v>7.5600000000000005</v>
      </c>
    </row>
    <row r="268" spans="4:6" x14ac:dyDescent="0.25">
      <c r="D268" s="43" t="s">
        <v>102</v>
      </c>
      <c r="E268" s="43" t="s">
        <v>351</v>
      </c>
      <c r="F268" s="43">
        <v>37.207999999999998</v>
      </c>
    </row>
    <row r="269" spans="4:6" x14ac:dyDescent="0.25">
      <c r="D269" s="44" t="s">
        <v>135</v>
      </c>
      <c r="E269" s="44" t="s">
        <v>352</v>
      </c>
      <c r="F269" s="44">
        <v>57.576000000000001</v>
      </c>
    </row>
    <row r="270" spans="4:6" x14ac:dyDescent="0.25">
      <c r="D270" s="43" t="s">
        <v>102</v>
      </c>
      <c r="E270" s="43" t="s">
        <v>353</v>
      </c>
      <c r="F270" s="43">
        <v>725.84</v>
      </c>
    </row>
    <row r="271" spans="4:6" x14ac:dyDescent="0.25">
      <c r="D271" s="44" t="s">
        <v>130</v>
      </c>
      <c r="E271" s="44" t="s">
        <v>354</v>
      </c>
      <c r="F271" s="44">
        <v>209.92999999999998</v>
      </c>
    </row>
    <row r="272" spans="4:6" x14ac:dyDescent="0.25">
      <c r="D272" s="43" t="s">
        <v>104</v>
      </c>
      <c r="E272" s="43" t="s">
        <v>355</v>
      </c>
      <c r="F272" s="43">
        <v>5.28</v>
      </c>
    </row>
    <row r="273" spans="4:6" x14ac:dyDescent="0.25">
      <c r="D273" s="44" t="s">
        <v>110</v>
      </c>
      <c r="E273" s="44" t="s">
        <v>356</v>
      </c>
      <c r="F273" s="44">
        <v>10.92</v>
      </c>
    </row>
    <row r="274" spans="4:6" x14ac:dyDescent="0.25">
      <c r="D274" s="43" t="s">
        <v>116</v>
      </c>
      <c r="E274" s="43" t="s">
        <v>357</v>
      </c>
      <c r="F274" s="43">
        <v>8.82</v>
      </c>
    </row>
    <row r="275" spans="4:6" x14ac:dyDescent="0.25">
      <c r="D275" s="44" t="s">
        <v>106</v>
      </c>
      <c r="E275" s="44" t="s">
        <v>358</v>
      </c>
      <c r="F275" s="44">
        <v>5.98</v>
      </c>
    </row>
    <row r="276" spans="4:6" x14ac:dyDescent="0.25">
      <c r="D276" s="43" t="s">
        <v>116</v>
      </c>
      <c r="E276" s="43" t="s">
        <v>359</v>
      </c>
      <c r="F276" s="43">
        <v>11.648000000000001</v>
      </c>
    </row>
    <row r="277" spans="4:6" x14ac:dyDescent="0.25">
      <c r="D277" s="44" t="s">
        <v>116</v>
      </c>
      <c r="E277" s="44" t="s">
        <v>360</v>
      </c>
      <c r="F277" s="44">
        <v>18.175999999999998</v>
      </c>
    </row>
    <row r="278" spans="4:6" x14ac:dyDescent="0.25">
      <c r="D278" s="43" t="s">
        <v>102</v>
      </c>
      <c r="E278" s="43" t="s">
        <v>361</v>
      </c>
      <c r="F278" s="43">
        <v>59.712000000000003</v>
      </c>
    </row>
    <row r="279" spans="4:6" x14ac:dyDescent="0.25">
      <c r="D279" s="44" t="s">
        <v>98</v>
      </c>
      <c r="E279" s="44" t="s">
        <v>362</v>
      </c>
      <c r="F279" s="44">
        <v>24.839999999999996</v>
      </c>
    </row>
    <row r="280" spans="4:6" x14ac:dyDescent="0.25">
      <c r="D280" s="43" t="s">
        <v>110</v>
      </c>
      <c r="E280" s="43" t="s">
        <v>363</v>
      </c>
      <c r="F280" s="43">
        <v>2.0799999999999996</v>
      </c>
    </row>
    <row r="281" spans="4:6" x14ac:dyDescent="0.25">
      <c r="D281" s="44" t="s">
        <v>108</v>
      </c>
      <c r="E281" s="44" t="s">
        <v>364</v>
      </c>
      <c r="F281" s="44">
        <v>1114.4000000000001</v>
      </c>
    </row>
    <row r="282" spans="4:6" x14ac:dyDescent="0.25">
      <c r="D282" s="43" t="s">
        <v>100</v>
      </c>
      <c r="E282" s="43" t="s">
        <v>365</v>
      </c>
      <c r="F282" s="43">
        <v>1038.8399999999999</v>
      </c>
    </row>
    <row r="283" spans="4:6" x14ac:dyDescent="0.25">
      <c r="D283" s="44" t="s">
        <v>116</v>
      </c>
      <c r="E283" s="44" t="s">
        <v>140</v>
      </c>
      <c r="F283" s="44">
        <v>141.76</v>
      </c>
    </row>
    <row r="284" spans="4:6" x14ac:dyDescent="0.25">
      <c r="D284" s="43" t="s">
        <v>130</v>
      </c>
      <c r="E284" s="43" t="s">
        <v>366</v>
      </c>
      <c r="F284" s="43">
        <v>239.80000000000004</v>
      </c>
    </row>
    <row r="285" spans="4:6" x14ac:dyDescent="0.25">
      <c r="D285" s="44" t="s">
        <v>116</v>
      </c>
      <c r="E285" s="44" t="s">
        <v>367</v>
      </c>
      <c r="F285" s="44">
        <v>31.104000000000006</v>
      </c>
    </row>
    <row r="286" spans="4:6" x14ac:dyDescent="0.25">
      <c r="D286" s="43" t="s">
        <v>110</v>
      </c>
      <c r="E286" s="43" t="s">
        <v>368</v>
      </c>
      <c r="F286" s="43">
        <v>254.05800000000002</v>
      </c>
    </row>
    <row r="287" spans="4:6" x14ac:dyDescent="0.25">
      <c r="D287" s="44" t="s">
        <v>112</v>
      </c>
      <c r="E287" s="44" t="s">
        <v>274</v>
      </c>
      <c r="F287" s="44">
        <v>194.52800000000002</v>
      </c>
    </row>
    <row r="288" spans="4:6" x14ac:dyDescent="0.25">
      <c r="D288" s="43" t="s">
        <v>240</v>
      </c>
      <c r="E288" s="43" t="s">
        <v>369</v>
      </c>
      <c r="F288" s="43">
        <v>961.48000000000013</v>
      </c>
    </row>
    <row r="289" spans="4:6" x14ac:dyDescent="0.25">
      <c r="D289" s="44" t="s">
        <v>158</v>
      </c>
      <c r="E289" s="44" t="s">
        <v>370</v>
      </c>
      <c r="F289" s="44">
        <v>19.096</v>
      </c>
    </row>
    <row r="290" spans="4:6" x14ac:dyDescent="0.25">
      <c r="D290" s="43" t="s">
        <v>98</v>
      </c>
      <c r="E290" s="43" t="s">
        <v>371</v>
      </c>
      <c r="F290" s="43">
        <v>18.496000000000002</v>
      </c>
    </row>
    <row r="291" spans="4:6" x14ac:dyDescent="0.25">
      <c r="D291" s="44" t="s">
        <v>130</v>
      </c>
      <c r="E291" s="44" t="s">
        <v>372</v>
      </c>
      <c r="F291" s="44">
        <v>255.98400000000004</v>
      </c>
    </row>
    <row r="292" spans="4:6" x14ac:dyDescent="0.25">
      <c r="D292" s="43" t="s">
        <v>94</v>
      </c>
      <c r="E292" s="43" t="s">
        <v>373</v>
      </c>
      <c r="F292" s="43">
        <v>86.97</v>
      </c>
    </row>
    <row r="293" spans="4:6" x14ac:dyDescent="0.25">
      <c r="D293" s="44" t="s">
        <v>104</v>
      </c>
      <c r="E293" s="44" t="s">
        <v>374</v>
      </c>
      <c r="F293" s="44">
        <v>300.416</v>
      </c>
    </row>
    <row r="294" spans="4:6" x14ac:dyDescent="0.25">
      <c r="D294" s="43" t="s">
        <v>96</v>
      </c>
      <c r="E294" s="43" t="s">
        <v>375</v>
      </c>
      <c r="F294" s="43">
        <v>230.35200000000003</v>
      </c>
    </row>
    <row r="295" spans="4:6" x14ac:dyDescent="0.25">
      <c r="D295" s="44" t="s">
        <v>104</v>
      </c>
      <c r="E295" s="44" t="s">
        <v>376</v>
      </c>
      <c r="F295" s="44">
        <v>218.35200000000003</v>
      </c>
    </row>
    <row r="296" spans="4:6" x14ac:dyDescent="0.25">
      <c r="D296" s="43" t="s">
        <v>110</v>
      </c>
      <c r="E296" s="43" t="s">
        <v>377</v>
      </c>
      <c r="F296" s="43">
        <v>78.600000000000009</v>
      </c>
    </row>
    <row r="297" spans="4:6" x14ac:dyDescent="0.25">
      <c r="D297" s="44" t="s">
        <v>158</v>
      </c>
      <c r="E297" s="44" t="s">
        <v>378</v>
      </c>
      <c r="F297" s="44">
        <v>27.552000000000003</v>
      </c>
    </row>
    <row r="298" spans="4:6" x14ac:dyDescent="0.25">
      <c r="D298" s="43" t="s">
        <v>116</v>
      </c>
      <c r="E298" s="43" t="s">
        <v>379</v>
      </c>
      <c r="F298" s="43">
        <v>32.400000000000006</v>
      </c>
    </row>
    <row r="299" spans="4:6" x14ac:dyDescent="0.25">
      <c r="D299" s="44" t="s">
        <v>102</v>
      </c>
      <c r="E299" s="44" t="s">
        <v>380</v>
      </c>
      <c r="F299" s="44">
        <v>1082.48</v>
      </c>
    </row>
    <row r="300" spans="4:6" x14ac:dyDescent="0.25">
      <c r="D300" s="43" t="s">
        <v>116</v>
      </c>
      <c r="E300" s="43" t="s">
        <v>381</v>
      </c>
      <c r="F300" s="43">
        <v>56.91</v>
      </c>
    </row>
    <row r="301" spans="4:6" x14ac:dyDescent="0.25">
      <c r="D301" s="44" t="s">
        <v>104</v>
      </c>
      <c r="E301" s="44" t="s">
        <v>382</v>
      </c>
      <c r="F301" s="44">
        <v>77.599999999999994</v>
      </c>
    </row>
    <row r="302" spans="4:6" x14ac:dyDescent="0.25">
      <c r="D302" s="43" t="s">
        <v>110</v>
      </c>
      <c r="E302" s="43" t="s">
        <v>383</v>
      </c>
      <c r="F302" s="43">
        <v>14.28</v>
      </c>
    </row>
    <row r="303" spans="4:6" x14ac:dyDescent="0.25">
      <c r="D303" s="44" t="s">
        <v>100</v>
      </c>
      <c r="E303" s="44" t="s">
        <v>384</v>
      </c>
      <c r="F303" s="44">
        <v>219.07500000000002</v>
      </c>
    </row>
    <row r="304" spans="4:6" x14ac:dyDescent="0.25">
      <c r="D304" s="43" t="s">
        <v>104</v>
      </c>
      <c r="E304" s="43" t="s">
        <v>385</v>
      </c>
      <c r="F304" s="43">
        <v>26.8</v>
      </c>
    </row>
    <row r="305" spans="4:6" x14ac:dyDescent="0.25">
      <c r="D305" s="44" t="s">
        <v>106</v>
      </c>
      <c r="E305" s="44" t="s">
        <v>386</v>
      </c>
      <c r="F305" s="44">
        <v>9.84</v>
      </c>
    </row>
    <row r="306" spans="4:6" x14ac:dyDescent="0.25">
      <c r="D306" s="43" t="s">
        <v>110</v>
      </c>
      <c r="E306" s="43" t="s">
        <v>387</v>
      </c>
      <c r="F306" s="43">
        <v>45.480000000000004</v>
      </c>
    </row>
    <row r="307" spans="4:6" x14ac:dyDescent="0.25">
      <c r="D307" s="44" t="s">
        <v>106</v>
      </c>
      <c r="E307" s="44" t="s">
        <v>388</v>
      </c>
      <c r="F307" s="44">
        <v>289.20000000000005</v>
      </c>
    </row>
    <row r="308" spans="4:6" x14ac:dyDescent="0.25">
      <c r="D308" s="43" t="s">
        <v>106</v>
      </c>
      <c r="E308" s="43" t="s">
        <v>389</v>
      </c>
      <c r="F308" s="43">
        <v>4.8899999999999997</v>
      </c>
    </row>
    <row r="309" spans="4:6" x14ac:dyDescent="0.25">
      <c r="D309" s="44" t="s">
        <v>104</v>
      </c>
      <c r="E309" s="44" t="s">
        <v>390</v>
      </c>
      <c r="F309" s="44">
        <v>15.136000000000003</v>
      </c>
    </row>
    <row r="310" spans="4:6" x14ac:dyDescent="0.25">
      <c r="D310" s="43" t="s">
        <v>96</v>
      </c>
      <c r="E310" s="43" t="s">
        <v>391</v>
      </c>
      <c r="F310" s="43">
        <v>466.76800000000003</v>
      </c>
    </row>
    <row r="311" spans="4:6" x14ac:dyDescent="0.25">
      <c r="D311" s="44" t="s">
        <v>104</v>
      </c>
      <c r="E311" s="44" t="s">
        <v>392</v>
      </c>
      <c r="F311" s="44">
        <v>15.231999999999999</v>
      </c>
    </row>
    <row r="312" spans="4:6" x14ac:dyDescent="0.25">
      <c r="D312" s="43" t="s">
        <v>98</v>
      </c>
      <c r="E312" s="43" t="s">
        <v>393</v>
      </c>
      <c r="F312" s="43">
        <v>6.2640000000000002</v>
      </c>
    </row>
    <row r="313" spans="4:6" x14ac:dyDescent="0.25">
      <c r="D313" s="44" t="s">
        <v>104</v>
      </c>
      <c r="E313" s="44" t="s">
        <v>394</v>
      </c>
      <c r="F313" s="44">
        <v>87.539999999999992</v>
      </c>
    </row>
    <row r="314" spans="4:6" x14ac:dyDescent="0.25">
      <c r="D314" s="43" t="s">
        <v>108</v>
      </c>
      <c r="E314" s="43" t="s">
        <v>395</v>
      </c>
      <c r="F314" s="43">
        <v>178.38400000000001</v>
      </c>
    </row>
    <row r="315" spans="4:6" x14ac:dyDescent="0.25">
      <c r="D315" s="44" t="s">
        <v>116</v>
      </c>
      <c r="E315" s="44" t="s">
        <v>396</v>
      </c>
      <c r="F315" s="44">
        <v>15.552000000000003</v>
      </c>
    </row>
    <row r="316" spans="4:6" x14ac:dyDescent="0.25">
      <c r="D316" s="43" t="s">
        <v>106</v>
      </c>
      <c r="E316" s="43" t="s">
        <v>397</v>
      </c>
      <c r="F316" s="43">
        <v>99.13600000000001</v>
      </c>
    </row>
    <row r="317" spans="4:6" x14ac:dyDescent="0.25">
      <c r="D317" s="44" t="s">
        <v>96</v>
      </c>
      <c r="E317" s="44" t="s">
        <v>398</v>
      </c>
      <c r="F317" s="44">
        <v>135.88200000000001</v>
      </c>
    </row>
    <row r="318" spans="4:6" x14ac:dyDescent="0.25">
      <c r="D318" s="43" t="s">
        <v>263</v>
      </c>
      <c r="E318" s="43" t="s">
        <v>399</v>
      </c>
      <c r="F318" s="43">
        <v>3991.98</v>
      </c>
    </row>
    <row r="319" spans="4:6" x14ac:dyDescent="0.25">
      <c r="D319" s="44" t="s">
        <v>108</v>
      </c>
      <c r="E319" s="44" t="s">
        <v>146</v>
      </c>
      <c r="F319" s="44">
        <v>275.94</v>
      </c>
    </row>
    <row r="320" spans="4:6" x14ac:dyDescent="0.25">
      <c r="D320" s="43" t="s">
        <v>130</v>
      </c>
      <c r="E320" s="43" t="s">
        <v>400</v>
      </c>
      <c r="F320" s="43">
        <v>360</v>
      </c>
    </row>
    <row r="321" spans="4:6" x14ac:dyDescent="0.25">
      <c r="D321" s="44" t="s">
        <v>102</v>
      </c>
      <c r="E321" s="44" t="s">
        <v>229</v>
      </c>
      <c r="F321" s="44">
        <v>43.57</v>
      </c>
    </row>
    <row r="322" spans="4:6" x14ac:dyDescent="0.25">
      <c r="D322" s="43" t="s">
        <v>158</v>
      </c>
      <c r="E322" s="43" t="s">
        <v>401</v>
      </c>
      <c r="F322" s="43">
        <v>7.16</v>
      </c>
    </row>
    <row r="323" spans="4:6" x14ac:dyDescent="0.25">
      <c r="D323" s="44" t="s">
        <v>110</v>
      </c>
      <c r="E323" s="44" t="s">
        <v>377</v>
      </c>
      <c r="F323" s="44">
        <v>251.52</v>
      </c>
    </row>
    <row r="324" spans="4:6" x14ac:dyDescent="0.25">
      <c r="D324" s="43" t="s">
        <v>130</v>
      </c>
      <c r="E324" s="43" t="s">
        <v>402</v>
      </c>
      <c r="F324" s="43">
        <v>99.99</v>
      </c>
    </row>
    <row r="325" spans="4:6" x14ac:dyDescent="0.25">
      <c r="D325" s="44" t="s">
        <v>104</v>
      </c>
      <c r="E325" s="44" t="s">
        <v>403</v>
      </c>
      <c r="F325" s="44">
        <v>15.991999999999999</v>
      </c>
    </row>
    <row r="326" spans="4:6" x14ac:dyDescent="0.25">
      <c r="D326" s="43" t="s">
        <v>108</v>
      </c>
      <c r="E326" s="43" t="s">
        <v>404</v>
      </c>
      <c r="F326" s="43">
        <v>290.89800000000002</v>
      </c>
    </row>
    <row r="327" spans="4:6" x14ac:dyDescent="0.25">
      <c r="D327" s="44" t="s">
        <v>102</v>
      </c>
      <c r="E327" s="44" t="s">
        <v>405</v>
      </c>
      <c r="F327" s="44">
        <v>54.224000000000004</v>
      </c>
    </row>
    <row r="328" spans="4:6" x14ac:dyDescent="0.25">
      <c r="D328" s="43" t="s">
        <v>98</v>
      </c>
      <c r="E328" s="43" t="s">
        <v>406</v>
      </c>
      <c r="F328" s="43">
        <v>100.24000000000001</v>
      </c>
    </row>
    <row r="329" spans="4:6" x14ac:dyDescent="0.25">
      <c r="D329" s="44" t="s">
        <v>110</v>
      </c>
      <c r="E329" s="44" t="s">
        <v>407</v>
      </c>
      <c r="F329" s="44">
        <v>37.76400000000001</v>
      </c>
    </row>
    <row r="330" spans="4:6" x14ac:dyDescent="0.25">
      <c r="D330" s="43" t="s">
        <v>108</v>
      </c>
      <c r="E330" s="43" t="s">
        <v>408</v>
      </c>
      <c r="F330" s="43">
        <v>82.8</v>
      </c>
    </row>
    <row r="331" spans="4:6" x14ac:dyDescent="0.25">
      <c r="D331" s="44" t="s">
        <v>110</v>
      </c>
      <c r="E331" s="44" t="s">
        <v>409</v>
      </c>
      <c r="F331" s="44">
        <v>20.724000000000004</v>
      </c>
    </row>
    <row r="332" spans="4:6" x14ac:dyDescent="0.25">
      <c r="D332" s="43" t="s">
        <v>110</v>
      </c>
      <c r="E332" s="43" t="s">
        <v>410</v>
      </c>
      <c r="F332" s="43">
        <v>4.8960000000000008</v>
      </c>
    </row>
    <row r="333" spans="4:6" x14ac:dyDescent="0.25">
      <c r="D333" s="44" t="s">
        <v>110</v>
      </c>
      <c r="E333" s="44" t="s">
        <v>411</v>
      </c>
      <c r="F333" s="44">
        <v>4.7520000000000007</v>
      </c>
    </row>
    <row r="334" spans="4:6" x14ac:dyDescent="0.25">
      <c r="D334" s="43" t="s">
        <v>412</v>
      </c>
      <c r="E334" s="43" t="s">
        <v>413</v>
      </c>
      <c r="F334" s="43">
        <v>959.98400000000004</v>
      </c>
    </row>
    <row r="335" spans="4:6" x14ac:dyDescent="0.25">
      <c r="D335" s="44" t="s">
        <v>110</v>
      </c>
      <c r="E335" s="44" t="s">
        <v>414</v>
      </c>
      <c r="F335" s="44">
        <v>14.368000000000002</v>
      </c>
    </row>
    <row r="336" spans="4:6" x14ac:dyDescent="0.25">
      <c r="D336" s="43" t="s">
        <v>110</v>
      </c>
      <c r="E336" s="43" t="s">
        <v>415</v>
      </c>
      <c r="F336" s="43">
        <v>7.7120000000000006</v>
      </c>
    </row>
    <row r="337" spans="4:6" x14ac:dyDescent="0.25">
      <c r="D337" s="44" t="s">
        <v>100</v>
      </c>
      <c r="E337" s="44" t="s">
        <v>416</v>
      </c>
      <c r="F337" s="44">
        <v>698.35200000000009</v>
      </c>
    </row>
    <row r="338" spans="4:6" x14ac:dyDescent="0.25">
      <c r="D338" s="43" t="s">
        <v>158</v>
      </c>
      <c r="E338" s="43" t="s">
        <v>417</v>
      </c>
      <c r="F338" s="43">
        <v>4.96</v>
      </c>
    </row>
    <row r="339" spans="4:6" x14ac:dyDescent="0.25">
      <c r="D339" s="44" t="s">
        <v>106</v>
      </c>
      <c r="E339" s="44" t="s">
        <v>418</v>
      </c>
      <c r="F339" s="44">
        <v>17.856000000000002</v>
      </c>
    </row>
    <row r="340" spans="4:6" x14ac:dyDescent="0.25">
      <c r="D340" s="43" t="s">
        <v>110</v>
      </c>
      <c r="E340" s="43" t="s">
        <v>118</v>
      </c>
      <c r="F340" s="43">
        <v>509.97000000000008</v>
      </c>
    </row>
    <row r="341" spans="4:6" x14ac:dyDescent="0.25">
      <c r="D341" s="44" t="s">
        <v>158</v>
      </c>
      <c r="E341" s="44" t="s">
        <v>234</v>
      </c>
      <c r="F341" s="44">
        <v>30.991999999999997</v>
      </c>
    </row>
    <row r="342" spans="4:6" x14ac:dyDescent="0.25">
      <c r="D342" s="43" t="s">
        <v>108</v>
      </c>
      <c r="E342" s="43" t="s">
        <v>419</v>
      </c>
      <c r="F342" s="43">
        <v>71.927999999999997</v>
      </c>
    </row>
    <row r="343" spans="4:6" x14ac:dyDescent="0.25">
      <c r="D343" s="44" t="s">
        <v>102</v>
      </c>
      <c r="E343" s="44" t="s">
        <v>122</v>
      </c>
      <c r="F343" s="44">
        <v>88.800000000000011</v>
      </c>
    </row>
    <row r="344" spans="4:6" x14ac:dyDescent="0.25">
      <c r="D344" s="43" t="s">
        <v>108</v>
      </c>
      <c r="E344" s="43" t="s">
        <v>232</v>
      </c>
      <c r="F344" s="43">
        <v>47.975999999999999</v>
      </c>
    </row>
    <row r="345" spans="4:6" x14ac:dyDescent="0.25">
      <c r="D345" s="44" t="s">
        <v>106</v>
      </c>
      <c r="E345" s="44" t="s">
        <v>291</v>
      </c>
      <c r="F345" s="44">
        <v>7.5600000000000005</v>
      </c>
    </row>
    <row r="346" spans="4:6" x14ac:dyDescent="0.25">
      <c r="D346" s="43" t="s">
        <v>116</v>
      </c>
      <c r="E346" s="43" t="s">
        <v>140</v>
      </c>
      <c r="F346" s="43">
        <v>24.56</v>
      </c>
    </row>
    <row r="347" spans="4:6" x14ac:dyDescent="0.25">
      <c r="D347" s="44" t="s">
        <v>106</v>
      </c>
      <c r="E347" s="44" t="s">
        <v>420</v>
      </c>
      <c r="F347" s="44">
        <v>12.96</v>
      </c>
    </row>
    <row r="348" spans="4:6" x14ac:dyDescent="0.25">
      <c r="D348" s="43" t="s">
        <v>130</v>
      </c>
      <c r="E348" s="43" t="s">
        <v>342</v>
      </c>
      <c r="F348" s="43">
        <v>6.79</v>
      </c>
    </row>
    <row r="349" spans="4:6" x14ac:dyDescent="0.25">
      <c r="D349" s="44" t="s">
        <v>116</v>
      </c>
      <c r="E349" s="44" t="s">
        <v>421</v>
      </c>
      <c r="F349" s="44">
        <v>24.56</v>
      </c>
    </row>
    <row r="350" spans="4:6" x14ac:dyDescent="0.25">
      <c r="D350" s="43" t="s">
        <v>110</v>
      </c>
      <c r="E350" s="43" t="s">
        <v>422</v>
      </c>
      <c r="F350" s="43">
        <v>3.048</v>
      </c>
    </row>
    <row r="351" spans="4:6" x14ac:dyDescent="0.25">
      <c r="D351" s="44" t="s">
        <v>116</v>
      </c>
      <c r="E351" s="44" t="s">
        <v>421</v>
      </c>
      <c r="F351" s="44">
        <v>49.12</v>
      </c>
    </row>
    <row r="352" spans="4:6" x14ac:dyDescent="0.25">
      <c r="D352" s="43" t="s">
        <v>110</v>
      </c>
      <c r="E352" s="43" t="s">
        <v>423</v>
      </c>
      <c r="F352" s="43">
        <v>4355.1680000000006</v>
      </c>
    </row>
    <row r="353" spans="4:6" x14ac:dyDescent="0.25">
      <c r="D353" s="44" t="s">
        <v>94</v>
      </c>
      <c r="E353" s="44" t="s">
        <v>424</v>
      </c>
      <c r="F353" s="44">
        <v>388.70400000000006</v>
      </c>
    </row>
    <row r="354" spans="4:6" x14ac:dyDescent="0.25">
      <c r="D354" s="43" t="s">
        <v>135</v>
      </c>
      <c r="E354" s="43" t="s">
        <v>425</v>
      </c>
      <c r="F354" s="43">
        <v>8.26</v>
      </c>
    </row>
    <row r="355" spans="4:6" x14ac:dyDescent="0.25">
      <c r="D355" s="44" t="s">
        <v>106</v>
      </c>
      <c r="E355" s="44" t="s">
        <v>426</v>
      </c>
      <c r="F355" s="44">
        <v>17.04</v>
      </c>
    </row>
    <row r="356" spans="4:6" x14ac:dyDescent="0.25">
      <c r="D356" s="43" t="s">
        <v>116</v>
      </c>
      <c r="E356" s="43" t="s">
        <v>427</v>
      </c>
      <c r="F356" s="43">
        <v>34.4</v>
      </c>
    </row>
    <row r="357" spans="4:6" x14ac:dyDescent="0.25">
      <c r="D357" s="44" t="s">
        <v>116</v>
      </c>
      <c r="E357" s="44" t="s">
        <v>295</v>
      </c>
      <c r="F357" s="44">
        <v>36.240000000000009</v>
      </c>
    </row>
    <row r="358" spans="4:6" x14ac:dyDescent="0.25">
      <c r="D358" s="43" t="s">
        <v>112</v>
      </c>
      <c r="E358" s="43" t="s">
        <v>428</v>
      </c>
      <c r="F358" s="43">
        <v>647.84</v>
      </c>
    </row>
    <row r="359" spans="4:6" x14ac:dyDescent="0.25">
      <c r="D359" s="44" t="s">
        <v>98</v>
      </c>
      <c r="E359" s="44" t="s">
        <v>429</v>
      </c>
      <c r="F359" s="44">
        <v>20.7</v>
      </c>
    </row>
    <row r="360" spans="4:6" x14ac:dyDescent="0.25">
      <c r="D360" s="43" t="s">
        <v>98</v>
      </c>
      <c r="E360" s="43" t="s">
        <v>429</v>
      </c>
      <c r="F360" s="43">
        <v>20.7</v>
      </c>
    </row>
    <row r="361" spans="4:6" x14ac:dyDescent="0.25">
      <c r="D361" s="44" t="s">
        <v>96</v>
      </c>
      <c r="E361" s="44" t="s">
        <v>430</v>
      </c>
      <c r="F361" s="44">
        <v>488.64600000000002</v>
      </c>
    </row>
    <row r="362" spans="4:6" x14ac:dyDescent="0.25">
      <c r="D362" s="43" t="s">
        <v>106</v>
      </c>
      <c r="E362" s="43" t="s">
        <v>431</v>
      </c>
      <c r="F362" s="43">
        <v>5.56</v>
      </c>
    </row>
    <row r="363" spans="4:6" x14ac:dyDescent="0.25">
      <c r="D363" s="44" t="s">
        <v>104</v>
      </c>
      <c r="E363" s="44" t="s">
        <v>432</v>
      </c>
      <c r="F363" s="44">
        <v>47.12</v>
      </c>
    </row>
    <row r="364" spans="4:6" x14ac:dyDescent="0.25">
      <c r="D364" s="43" t="s">
        <v>102</v>
      </c>
      <c r="E364" s="43" t="s">
        <v>151</v>
      </c>
      <c r="F364" s="43">
        <v>211.96</v>
      </c>
    </row>
    <row r="365" spans="4:6" x14ac:dyDescent="0.25">
      <c r="D365" s="44" t="s">
        <v>110</v>
      </c>
      <c r="E365" s="44" t="s">
        <v>433</v>
      </c>
      <c r="F365" s="44">
        <v>23.2</v>
      </c>
    </row>
    <row r="366" spans="4:6" x14ac:dyDescent="0.25">
      <c r="D366" s="43" t="s">
        <v>240</v>
      </c>
      <c r="E366" s="43" t="s">
        <v>434</v>
      </c>
      <c r="F366" s="43">
        <v>7.36</v>
      </c>
    </row>
    <row r="367" spans="4:6" x14ac:dyDescent="0.25">
      <c r="D367" s="44" t="s">
        <v>102</v>
      </c>
      <c r="E367" s="44" t="s">
        <v>435</v>
      </c>
      <c r="F367" s="44">
        <v>104.79</v>
      </c>
    </row>
    <row r="368" spans="4:6" x14ac:dyDescent="0.25">
      <c r="D368" s="43" t="s">
        <v>94</v>
      </c>
      <c r="E368" s="43" t="s">
        <v>288</v>
      </c>
      <c r="F368" s="43">
        <v>1043.92</v>
      </c>
    </row>
    <row r="369" spans="4:6" x14ac:dyDescent="0.25">
      <c r="D369" s="44" t="s">
        <v>116</v>
      </c>
      <c r="E369" s="44" t="s">
        <v>436</v>
      </c>
      <c r="F369" s="44">
        <v>25.920000000000005</v>
      </c>
    </row>
    <row r="370" spans="4:6" x14ac:dyDescent="0.25">
      <c r="D370" s="43" t="s">
        <v>102</v>
      </c>
      <c r="E370" s="43" t="s">
        <v>437</v>
      </c>
      <c r="F370" s="43">
        <v>53.424000000000007</v>
      </c>
    </row>
    <row r="371" spans="4:6" x14ac:dyDescent="0.25">
      <c r="D371" s="44" t="s">
        <v>110</v>
      </c>
      <c r="E371" s="44" t="s">
        <v>410</v>
      </c>
      <c r="F371" s="44">
        <v>8.1600000000000019</v>
      </c>
    </row>
    <row r="372" spans="4:6" x14ac:dyDescent="0.25">
      <c r="D372" s="43" t="s">
        <v>130</v>
      </c>
      <c r="E372" s="43" t="s">
        <v>438</v>
      </c>
      <c r="F372" s="43">
        <v>1023.9360000000001</v>
      </c>
    </row>
    <row r="373" spans="4:6" x14ac:dyDescent="0.25">
      <c r="D373" s="44" t="s">
        <v>106</v>
      </c>
      <c r="E373" s="44" t="s">
        <v>439</v>
      </c>
      <c r="F373" s="44">
        <v>9.24</v>
      </c>
    </row>
    <row r="374" spans="4:6" x14ac:dyDescent="0.25">
      <c r="D374" s="43" t="s">
        <v>130</v>
      </c>
      <c r="E374" s="43" t="s">
        <v>440</v>
      </c>
      <c r="F374" s="43">
        <v>479.04</v>
      </c>
    </row>
    <row r="375" spans="4:6" x14ac:dyDescent="0.25">
      <c r="D375" s="44" t="s">
        <v>116</v>
      </c>
      <c r="E375" s="44" t="s">
        <v>441</v>
      </c>
      <c r="F375" s="44">
        <v>99.13600000000001</v>
      </c>
    </row>
    <row r="376" spans="4:6" x14ac:dyDescent="0.25">
      <c r="D376" s="43" t="s">
        <v>112</v>
      </c>
      <c r="E376" s="43" t="s">
        <v>442</v>
      </c>
      <c r="F376" s="43">
        <v>8.6519999999999975</v>
      </c>
    </row>
    <row r="377" spans="4:6" x14ac:dyDescent="0.25">
      <c r="D377" s="44" t="s">
        <v>102</v>
      </c>
      <c r="E377" s="44" t="s">
        <v>443</v>
      </c>
      <c r="F377" s="44">
        <v>23.832000000000001</v>
      </c>
    </row>
    <row r="378" spans="4:6" x14ac:dyDescent="0.25">
      <c r="D378" s="43" t="s">
        <v>110</v>
      </c>
      <c r="E378" s="43" t="s">
        <v>444</v>
      </c>
      <c r="F378" s="43">
        <v>12.175999999999998</v>
      </c>
    </row>
    <row r="379" spans="4:6" x14ac:dyDescent="0.25">
      <c r="D379" s="44" t="s">
        <v>116</v>
      </c>
      <c r="E379" s="44" t="s">
        <v>445</v>
      </c>
      <c r="F379" s="44">
        <v>50.96</v>
      </c>
    </row>
    <row r="380" spans="4:6" x14ac:dyDescent="0.25">
      <c r="D380" s="43" t="s">
        <v>110</v>
      </c>
      <c r="E380" s="43" t="s">
        <v>446</v>
      </c>
      <c r="F380" s="43">
        <v>49.536000000000001</v>
      </c>
    </row>
    <row r="381" spans="4:6" x14ac:dyDescent="0.25">
      <c r="D381" s="44" t="s">
        <v>130</v>
      </c>
      <c r="E381" s="44" t="s">
        <v>447</v>
      </c>
      <c r="F381" s="44">
        <v>41.9</v>
      </c>
    </row>
    <row r="382" spans="4:6" x14ac:dyDescent="0.25">
      <c r="D382" s="43" t="s">
        <v>100</v>
      </c>
      <c r="E382" s="43" t="s">
        <v>448</v>
      </c>
      <c r="F382" s="43">
        <v>375.45750000000004</v>
      </c>
    </row>
    <row r="383" spans="4:6" x14ac:dyDescent="0.25">
      <c r="D383" s="44" t="s">
        <v>130</v>
      </c>
      <c r="E383" s="44" t="s">
        <v>449</v>
      </c>
      <c r="F383" s="44">
        <v>83.976000000000013</v>
      </c>
    </row>
    <row r="384" spans="4:6" x14ac:dyDescent="0.25">
      <c r="D384" s="43" t="s">
        <v>263</v>
      </c>
      <c r="E384" s="43" t="s">
        <v>450</v>
      </c>
      <c r="F384" s="43">
        <v>482.34000000000003</v>
      </c>
    </row>
    <row r="385" spans="4:6" x14ac:dyDescent="0.25">
      <c r="D385" s="44" t="s">
        <v>110</v>
      </c>
      <c r="E385" s="44" t="s">
        <v>451</v>
      </c>
      <c r="F385" s="44">
        <v>23.36</v>
      </c>
    </row>
    <row r="386" spans="4:6" x14ac:dyDescent="0.25">
      <c r="D386" s="43" t="s">
        <v>130</v>
      </c>
      <c r="E386" s="43" t="s">
        <v>191</v>
      </c>
      <c r="F386" s="43">
        <v>39.979999999999997</v>
      </c>
    </row>
    <row r="387" spans="4:6" x14ac:dyDescent="0.25">
      <c r="D387" s="44" t="s">
        <v>108</v>
      </c>
      <c r="E387" s="44" t="s">
        <v>452</v>
      </c>
      <c r="F387" s="44">
        <v>246.38400000000001</v>
      </c>
    </row>
    <row r="388" spans="4:6" x14ac:dyDescent="0.25">
      <c r="D388" s="43" t="s">
        <v>412</v>
      </c>
      <c r="E388" s="43" t="s">
        <v>453</v>
      </c>
      <c r="F388" s="43">
        <v>1799.97</v>
      </c>
    </row>
    <row r="389" spans="4:6" x14ac:dyDescent="0.25">
      <c r="D389" s="44" t="s">
        <v>110</v>
      </c>
      <c r="E389" s="44" t="s">
        <v>454</v>
      </c>
      <c r="F389" s="44">
        <v>12.461999999999996</v>
      </c>
    </row>
    <row r="390" spans="4:6" x14ac:dyDescent="0.25">
      <c r="D390" s="43" t="s">
        <v>110</v>
      </c>
      <c r="E390" s="43" t="s">
        <v>455</v>
      </c>
      <c r="F390" s="43">
        <v>75.792000000000002</v>
      </c>
    </row>
    <row r="391" spans="4:6" x14ac:dyDescent="0.25">
      <c r="D391" s="44" t="s">
        <v>102</v>
      </c>
      <c r="E391" s="44" t="s">
        <v>456</v>
      </c>
      <c r="F391" s="44">
        <v>49.96</v>
      </c>
    </row>
    <row r="392" spans="4:6" x14ac:dyDescent="0.25">
      <c r="D392" s="43" t="s">
        <v>116</v>
      </c>
      <c r="E392" s="43" t="s">
        <v>457</v>
      </c>
      <c r="F392" s="43">
        <v>12.96</v>
      </c>
    </row>
    <row r="393" spans="4:6" x14ac:dyDescent="0.25">
      <c r="D393" s="44" t="s">
        <v>240</v>
      </c>
      <c r="E393" s="44" t="s">
        <v>458</v>
      </c>
      <c r="F393" s="44">
        <v>70.12</v>
      </c>
    </row>
    <row r="394" spans="4:6" x14ac:dyDescent="0.25">
      <c r="D394" s="43" t="s">
        <v>102</v>
      </c>
      <c r="E394" s="43" t="s">
        <v>459</v>
      </c>
      <c r="F394" s="43">
        <v>35.952000000000005</v>
      </c>
    </row>
    <row r="395" spans="4:6" x14ac:dyDescent="0.25">
      <c r="D395" s="44" t="s">
        <v>94</v>
      </c>
      <c r="E395" s="44" t="s">
        <v>132</v>
      </c>
      <c r="F395" s="44">
        <v>2396.2655999999997</v>
      </c>
    </row>
    <row r="396" spans="4:6" x14ac:dyDescent="0.25">
      <c r="D396" s="43" t="s">
        <v>102</v>
      </c>
      <c r="E396" s="43" t="s">
        <v>460</v>
      </c>
      <c r="F396" s="43">
        <v>131.136</v>
      </c>
    </row>
    <row r="397" spans="4:6" x14ac:dyDescent="0.25">
      <c r="D397" s="44" t="s">
        <v>130</v>
      </c>
      <c r="E397" s="44" t="s">
        <v>461</v>
      </c>
      <c r="F397" s="44">
        <v>57.584000000000003</v>
      </c>
    </row>
    <row r="398" spans="4:6" x14ac:dyDescent="0.25">
      <c r="D398" s="43" t="s">
        <v>116</v>
      </c>
      <c r="E398" s="43" t="s">
        <v>462</v>
      </c>
      <c r="F398" s="43">
        <v>9.5680000000000014</v>
      </c>
    </row>
    <row r="399" spans="4:6" x14ac:dyDescent="0.25">
      <c r="D399" s="44" t="s">
        <v>106</v>
      </c>
      <c r="E399" s="44" t="s">
        <v>463</v>
      </c>
      <c r="F399" s="44">
        <v>39.072000000000003</v>
      </c>
    </row>
    <row r="400" spans="4:6" x14ac:dyDescent="0.25">
      <c r="D400" s="43" t="s">
        <v>112</v>
      </c>
      <c r="E400" s="43" t="s">
        <v>464</v>
      </c>
      <c r="F400" s="43">
        <v>35.910000000000004</v>
      </c>
    </row>
    <row r="401" spans="4:6" x14ac:dyDescent="0.25">
      <c r="D401" s="44" t="s">
        <v>130</v>
      </c>
      <c r="E401" s="44" t="s">
        <v>461</v>
      </c>
      <c r="F401" s="44">
        <v>179.95000000000002</v>
      </c>
    </row>
    <row r="402" spans="4:6" x14ac:dyDescent="0.25">
      <c r="D402" s="43" t="s">
        <v>412</v>
      </c>
      <c r="E402" s="43" t="s">
        <v>465</v>
      </c>
      <c r="F402" s="43">
        <v>1199.9760000000001</v>
      </c>
    </row>
    <row r="403" spans="4:6" x14ac:dyDescent="0.25">
      <c r="D403" s="44" t="s">
        <v>116</v>
      </c>
      <c r="E403" s="44" t="s">
        <v>466</v>
      </c>
      <c r="F403" s="44">
        <v>27.15</v>
      </c>
    </row>
    <row r="404" spans="4:6" x14ac:dyDescent="0.25">
      <c r="D404" s="43" t="s">
        <v>100</v>
      </c>
      <c r="E404" s="43" t="s">
        <v>467</v>
      </c>
      <c r="F404" s="43">
        <v>1004.0239999999999</v>
      </c>
    </row>
    <row r="405" spans="4:6" x14ac:dyDescent="0.25">
      <c r="D405" s="44" t="s">
        <v>116</v>
      </c>
      <c r="E405" s="44" t="s">
        <v>468</v>
      </c>
      <c r="F405" s="44">
        <v>9.68</v>
      </c>
    </row>
    <row r="406" spans="4:6" x14ac:dyDescent="0.25">
      <c r="D406" s="43" t="s">
        <v>98</v>
      </c>
      <c r="E406" s="43" t="s">
        <v>469</v>
      </c>
      <c r="F406" s="43">
        <v>28.349999999999998</v>
      </c>
    </row>
    <row r="407" spans="4:6" x14ac:dyDescent="0.25">
      <c r="D407" s="44" t="s">
        <v>116</v>
      </c>
      <c r="E407" s="44" t="s">
        <v>470</v>
      </c>
      <c r="F407" s="44">
        <v>55.98</v>
      </c>
    </row>
    <row r="408" spans="4:6" x14ac:dyDescent="0.25">
      <c r="D408" s="43" t="s">
        <v>94</v>
      </c>
      <c r="E408" s="43" t="s">
        <v>471</v>
      </c>
      <c r="F408" s="43">
        <v>1336.829</v>
      </c>
    </row>
    <row r="409" spans="4:6" x14ac:dyDescent="0.25">
      <c r="D409" s="44" t="s">
        <v>96</v>
      </c>
      <c r="E409" s="44" t="s">
        <v>472</v>
      </c>
      <c r="F409" s="44">
        <v>113.56800000000001</v>
      </c>
    </row>
    <row r="410" spans="4:6" x14ac:dyDescent="0.25">
      <c r="D410" s="43" t="s">
        <v>116</v>
      </c>
      <c r="E410" s="43" t="s">
        <v>473</v>
      </c>
      <c r="F410" s="43">
        <v>139.86000000000001</v>
      </c>
    </row>
    <row r="411" spans="4:6" x14ac:dyDescent="0.25">
      <c r="D411" s="44" t="s">
        <v>96</v>
      </c>
      <c r="E411" s="44" t="s">
        <v>375</v>
      </c>
      <c r="F411" s="44">
        <v>307.13600000000002</v>
      </c>
    </row>
    <row r="412" spans="4:6" x14ac:dyDescent="0.25">
      <c r="D412" s="43" t="s">
        <v>106</v>
      </c>
      <c r="E412" s="43" t="s">
        <v>474</v>
      </c>
      <c r="F412" s="43">
        <v>95.92</v>
      </c>
    </row>
    <row r="413" spans="4:6" x14ac:dyDescent="0.25">
      <c r="D413" s="44" t="s">
        <v>96</v>
      </c>
      <c r="E413" s="44" t="s">
        <v>475</v>
      </c>
      <c r="F413" s="44">
        <v>383.8</v>
      </c>
    </row>
    <row r="414" spans="4:6" x14ac:dyDescent="0.25">
      <c r="D414" s="43" t="s">
        <v>116</v>
      </c>
      <c r="E414" s="43" t="s">
        <v>476</v>
      </c>
      <c r="F414" s="43">
        <v>5.78</v>
      </c>
    </row>
    <row r="415" spans="4:6" x14ac:dyDescent="0.25">
      <c r="D415" s="44" t="s">
        <v>106</v>
      </c>
      <c r="E415" s="44" t="s">
        <v>477</v>
      </c>
      <c r="F415" s="44">
        <v>9.32</v>
      </c>
    </row>
    <row r="416" spans="4:6" x14ac:dyDescent="0.25">
      <c r="D416" s="43" t="s">
        <v>135</v>
      </c>
      <c r="E416" s="43" t="s">
        <v>478</v>
      </c>
      <c r="F416" s="43">
        <v>15.25</v>
      </c>
    </row>
    <row r="417" spans="4:6" x14ac:dyDescent="0.25">
      <c r="D417" s="44" t="s">
        <v>130</v>
      </c>
      <c r="E417" s="44" t="s">
        <v>479</v>
      </c>
      <c r="F417" s="44">
        <v>196.75200000000001</v>
      </c>
    </row>
    <row r="418" spans="4:6" x14ac:dyDescent="0.25">
      <c r="D418" s="43" t="s">
        <v>104</v>
      </c>
      <c r="E418" s="43" t="s">
        <v>480</v>
      </c>
      <c r="F418" s="43">
        <v>56.56</v>
      </c>
    </row>
    <row r="419" spans="4:6" x14ac:dyDescent="0.25">
      <c r="D419" s="44" t="s">
        <v>102</v>
      </c>
      <c r="E419" s="44" t="s">
        <v>481</v>
      </c>
      <c r="F419" s="44">
        <v>32.700000000000003</v>
      </c>
    </row>
    <row r="420" spans="4:6" x14ac:dyDescent="0.25">
      <c r="D420" s="43" t="s">
        <v>96</v>
      </c>
      <c r="E420" s="43" t="s">
        <v>482</v>
      </c>
      <c r="F420" s="43">
        <v>866.4</v>
      </c>
    </row>
    <row r="421" spans="4:6" x14ac:dyDescent="0.25">
      <c r="D421" s="44" t="s">
        <v>104</v>
      </c>
      <c r="E421" s="44" t="s">
        <v>483</v>
      </c>
      <c r="F421" s="44">
        <v>28.4</v>
      </c>
    </row>
    <row r="422" spans="4:6" x14ac:dyDescent="0.25">
      <c r="D422" s="43" t="s">
        <v>110</v>
      </c>
      <c r="E422" s="43" t="s">
        <v>484</v>
      </c>
      <c r="F422" s="43">
        <v>287.92</v>
      </c>
    </row>
    <row r="423" spans="4:6" x14ac:dyDescent="0.25">
      <c r="D423" s="44" t="s">
        <v>263</v>
      </c>
      <c r="E423" s="44" t="s">
        <v>485</v>
      </c>
      <c r="F423" s="44">
        <v>69.989999999999995</v>
      </c>
    </row>
    <row r="424" spans="4:6" x14ac:dyDescent="0.25">
      <c r="D424" s="43" t="s">
        <v>106</v>
      </c>
      <c r="E424" s="43" t="s">
        <v>486</v>
      </c>
      <c r="F424" s="43">
        <v>6.6719999999999988</v>
      </c>
    </row>
    <row r="425" spans="4:6" x14ac:dyDescent="0.25">
      <c r="D425" s="44" t="s">
        <v>110</v>
      </c>
      <c r="E425" s="44" t="s">
        <v>487</v>
      </c>
      <c r="F425" s="44">
        <v>189.58800000000005</v>
      </c>
    </row>
    <row r="426" spans="4:6" x14ac:dyDescent="0.25">
      <c r="D426" s="43" t="s">
        <v>130</v>
      </c>
      <c r="E426" s="43" t="s">
        <v>278</v>
      </c>
      <c r="F426" s="43">
        <v>408.74399999999997</v>
      </c>
    </row>
    <row r="427" spans="4:6" x14ac:dyDescent="0.25">
      <c r="D427" s="44" t="s">
        <v>130</v>
      </c>
      <c r="E427" s="44" t="s">
        <v>278</v>
      </c>
      <c r="F427" s="44">
        <v>291.95999999999998</v>
      </c>
    </row>
    <row r="428" spans="4:6" x14ac:dyDescent="0.25">
      <c r="D428" s="43" t="s">
        <v>102</v>
      </c>
      <c r="E428" s="43" t="s">
        <v>488</v>
      </c>
      <c r="F428" s="43">
        <v>4.7679999999999998</v>
      </c>
    </row>
    <row r="429" spans="4:6" x14ac:dyDescent="0.25">
      <c r="D429" s="44" t="s">
        <v>102</v>
      </c>
      <c r="E429" s="44" t="s">
        <v>489</v>
      </c>
      <c r="F429" s="44">
        <v>714.30000000000007</v>
      </c>
    </row>
    <row r="430" spans="4:6" x14ac:dyDescent="0.25">
      <c r="D430" s="43" t="s">
        <v>110</v>
      </c>
      <c r="E430" s="43" t="s">
        <v>490</v>
      </c>
      <c r="F430" s="43">
        <v>4.8120000000000003</v>
      </c>
    </row>
    <row r="431" spans="4:6" x14ac:dyDescent="0.25">
      <c r="D431" s="44" t="s">
        <v>130</v>
      </c>
      <c r="E431" s="44" t="s">
        <v>491</v>
      </c>
      <c r="F431" s="44">
        <v>247.8</v>
      </c>
    </row>
    <row r="432" spans="4:6" x14ac:dyDescent="0.25">
      <c r="D432" s="43" t="s">
        <v>263</v>
      </c>
      <c r="E432" s="43" t="s">
        <v>492</v>
      </c>
      <c r="F432" s="43">
        <v>1007.979</v>
      </c>
    </row>
    <row r="433" spans="4:6" x14ac:dyDescent="0.25">
      <c r="D433" s="44" t="s">
        <v>116</v>
      </c>
      <c r="E433" s="44" t="s">
        <v>470</v>
      </c>
      <c r="F433" s="44">
        <v>313.488</v>
      </c>
    </row>
    <row r="434" spans="4:6" x14ac:dyDescent="0.25">
      <c r="D434" s="43" t="s">
        <v>116</v>
      </c>
      <c r="E434" s="43" t="s">
        <v>493</v>
      </c>
      <c r="F434" s="43">
        <v>31.872000000000003</v>
      </c>
    </row>
    <row r="435" spans="4:6" x14ac:dyDescent="0.25">
      <c r="D435" s="44" t="s">
        <v>96</v>
      </c>
      <c r="E435" s="44" t="s">
        <v>494</v>
      </c>
      <c r="F435" s="44">
        <v>207.84600000000003</v>
      </c>
    </row>
    <row r="436" spans="4:6" x14ac:dyDescent="0.25">
      <c r="D436" s="43" t="s">
        <v>104</v>
      </c>
      <c r="E436" s="43" t="s">
        <v>495</v>
      </c>
      <c r="F436" s="43">
        <v>12.22</v>
      </c>
    </row>
    <row r="437" spans="4:6" x14ac:dyDescent="0.25">
      <c r="D437" s="44" t="s">
        <v>102</v>
      </c>
      <c r="E437" s="44" t="s">
        <v>496</v>
      </c>
      <c r="F437" s="44">
        <v>194.94</v>
      </c>
    </row>
    <row r="438" spans="4:6" x14ac:dyDescent="0.25">
      <c r="D438" s="43" t="s">
        <v>102</v>
      </c>
      <c r="E438" s="43" t="s">
        <v>497</v>
      </c>
      <c r="F438" s="43">
        <v>70.949999999999989</v>
      </c>
    </row>
    <row r="439" spans="4:6" x14ac:dyDescent="0.25">
      <c r="D439" s="44" t="s">
        <v>116</v>
      </c>
      <c r="E439" s="44" t="s">
        <v>498</v>
      </c>
      <c r="F439" s="44">
        <v>91.36</v>
      </c>
    </row>
    <row r="440" spans="4:6" x14ac:dyDescent="0.25">
      <c r="D440" s="43" t="s">
        <v>96</v>
      </c>
      <c r="E440" s="43" t="s">
        <v>499</v>
      </c>
      <c r="F440" s="43">
        <v>242.94</v>
      </c>
    </row>
    <row r="441" spans="4:6" x14ac:dyDescent="0.25">
      <c r="D441" s="44" t="s">
        <v>98</v>
      </c>
      <c r="E441" s="44" t="s">
        <v>500</v>
      </c>
      <c r="F441" s="44">
        <v>22.05</v>
      </c>
    </row>
    <row r="442" spans="4:6" x14ac:dyDescent="0.25">
      <c r="D442" s="43" t="s">
        <v>104</v>
      </c>
      <c r="E442" s="43" t="s">
        <v>501</v>
      </c>
      <c r="F442" s="43">
        <v>2.91</v>
      </c>
    </row>
    <row r="443" spans="4:6" x14ac:dyDescent="0.25">
      <c r="D443" s="44" t="s">
        <v>106</v>
      </c>
      <c r="E443" s="44" t="s">
        <v>502</v>
      </c>
      <c r="F443" s="44">
        <v>59.519999999999996</v>
      </c>
    </row>
    <row r="444" spans="4:6" x14ac:dyDescent="0.25">
      <c r="D444" s="43" t="s">
        <v>102</v>
      </c>
      <c r="E444" s="43" t="s">
        <v>503</v>
      </c>
      <c r="F444" s="43">
        <v>161.94</v>
      </c>
    </row>
    <row r="445" spans="4:6" x14ac:dyDescent="0.25">
      <c r="D445" s="44" t="s">
        <v>106</v>
      </c>
      <c r="E445" s="44" t="s">
        <v>504</v>
      </c>
      <c r="F445" s="44">
        <v>263.88</v>
      </c>
    </row>
    <row r="446" spans="4:6" x14ac:dyDescent="0.25">
      <c r="D446" s="43" t="s">
        <v>106</v>
      </c>
      <c r="E446" s="43" t="s">
        <v>505</v>
      </c>
      <c r="F446" s="43">
        <v>30.48</v>
      </c>
    </row>
    <row r="447" spans="4:6" x14ac:dyDescent="0.25">
      <c r="D447" s="44" t="s">
        <v>106</v>
      </c>
      <c r="E447" s="44" t="s">
        <v>506</v>
      </c>
      <c r="F447" s="44">
        <v>9.84</v>
      </c>
    </row>
    <row r="448" spans="4:6" x14ac:dyDescent="0.25">
      <c r="D448" s="43" t="s">
        <v>108</v>
      </c>
      <c r="E448" s="43" t="s">
        <v>507</v>
      </c>
      <c r="F448" s="43">
        <v>35.119999999999997</v>
      </c>
    </row>
    <row r="449" spans="4:6" x14ac:dyDescent="0.25">
      <c r="D449" s="44" t="s">
        <v>100</v>
      </c>
      <c r="E449" s="44" t="s">
        <v>114</v>
      </c>
      <c r="F449" s="44">
        <v>284.36399999999998</v>
      </c>
    </row>
    <row r="450" spans="4:6" x14ac:dyDescent="0.25">
      <c r="D450" s="43" t="s">
        <v>102</v>
      </c>
      <c r="E450" s="43" t="s">
        <v>508</v>
      </c>
      <c r="F450" s="43">
        <v>665.40800000000002</v>
      </c>
    </row>
    <row r="451" spans="4:6" x14ac:dyDescent="0.25">
      <c r="D451" s="44" t="s">
        <v>130</v>
      </c>
      <c r="E451" s="44" t="s">
        <v>509</v>
      </c>
      <c r="F451" s="44">
        <v>63.88</v>
      </c>
    </row>
    <row r="452" spans="4:6" x14ac:dyDescent="0.25">
      <c r="D452" s="43" t="s">
        <v>96</v>
      </c>
      <c r="E452" s="43" t="s">
        <v>510</v>
      </c>
      <c r="F452" s="43">
        <v>129.56800000000001</v>
      </c>
    </row>
    <row r="453" spans="4:6" x14ac:dyDescent="0.25">
      <c r="D453" s="44" t="s">
        <v>135</v>
      </c>
      <c r="E453" s="44" t="s">
        <v>260</v>
      </c>
      <c r="F453" s="44">
        <v>8.9280000000000008</v>
      </c>
    </row>
    <row r="454" spans="4:6" x14ac:dyDescent="0.25">
      <c r="D454" s="43" t="s">
        <v>112</v>
      </c>
      <c r="E454" s="43" t="s">
        <v>511</v>
      </c>
      <c r="F454" s="43">
        <v>103.92</v>
      </c>
    </row>
    <row r="455" spans="4:6" x14ac:dyDescent="0.25">
      <c r="D455" s="44" t="s">
        <v>130</v>
      </c>
      <c r="E455" s="44" t="s">
        <v>512</v>
      </c>
      <c r="F455" s="44">
        <v>899.91</v>
      </c>
    </row>
    <row r="456" spans="4:6" x14ac:dyDescent="0.25">
      <c r="D456" s="43" t="s">
        <v>110</v>
      </c>
      <c r="E456" s="43" t="s">
        <v>513</v>
      </c>
      <c r="F456" s="43">
        <v>51.311999999999998</v>
      </c>
    </row>
    <row r="457" spans="4:6" x14ac:dyDescent="0.25">
      <c r="D457" s="44" t="s">
        <v>104</v>
      </c>
      <c r="E457" s="44" t="s">
        <v>432</v>
      </c>
      <c r="F457" s="44">
        <v>23.56</v>
      </c>
    </row>
    <row r="458" spans="4:6" x14ac:dyDescent="0.25">
      <c r="D458" s="43" t="s">
        <v>100</v>
      </c>
      <c r="E458" s="43" t="s">
        <v>514</v>
      </c>
      <c r="F458" s="43">
        <v>1272.6299999999999</v>
      </c>
    </row>
    <row r="459" spans="4:6" x14ac:dyDescent="0.25">
      <c r="D459" s="44" t="s">
        <v>110</v>
      </c>
      <c r="E459" s="44" t="s">
        <v>515</v>
      </c>
      <c r="F459" s="44">
        <v>28.484999999999999</v>
      </c>
    </row>
    <row r="460" spans="4:6" x14ac:dyDescent="0.25">
      <c r="D460" s="43" t="s">
        <v>240</v>
      </c>
      <c r="E460" s="43" t="s">
        <v>516</v>
      </c>
      <c r="F460" s="43">
        <v>185.376</v>
      </c>
    </row>
    <row r="461" spans="4:6" x14ac:dyDescent="0.25">
      <c r="D461" s="44" t="s">
        <v>112</v>
      </c>
      <c r="E461" s="44" t="s">
        <v>517</v>
      </c>
      <c r="F461" s="44">
        <v>78.272000000000006</v>
      </c>
    </row>
    <row r="462" spans="4:6" x14ac:dyDescent="0.25">
      <c r="D462" s="43" t="s">
        <v>104</v>
      </c>
      <c r="E462" s="43" t="s">
        <v>376</v>
      </c>
      <c r="F462" s="43">
        <v>254.74400000000003</v>
      </c>
    </row>
    <row r="463" spans="4:6" x14ac:dyDescent="0.25">
      <c r="D463" s="44" t="s">
        <v>110</v>
      </c>
      <c r="E463" s="44" t="s">
        <v>518</v>
      </c>
      <c r="F463" s="44">
        <v>4.7879999999999985</v>
      </c>
    </row>
    <row r="464" spans="4:6" x14ac:dyDescent="0.25">
      <c r="D464" s="43" t="s">
        <v>116</v>
      </c>
      <c r="E464" s="43" t="s">
        <v>519</v>
      </c>
      <c r="F464" s="43">
        <v>55.48</v>
      </c>
    </row>
    <row r="465" spans="4:6" x14ac:dyDescent="0.25">
      <c r="D465" s="44" t="s">
        <v>102</v>
      </c>
      <c r="E465" s="44" t="s">
        <v>520</v>
      </c>
      <c r="F465" s="44">
        <v>340.92</v>
      </c>
    </row>
    <row r="466" spans="4:6" x14ac:dyDescent="0.25">
      <c r="D466" s="43" t="s">
        <v>94</v>
      </c>
      <c r="E466" s="43" t="s">
        <v>521</v>
      </c>
      <c r="F466" s="43">
        <v>222.66599999999997</v>
      </c>
    </row>
    <row r="467" spans="4:6" x14ac:dyDescent="0.25">
      <c r="D467" s="44" t="s">
        <v>108</v>
      </c>
      <c r="E467" s="44" t="s">
        <v>522</v>
      </c>
      <c r="F467" s="44">
        <v>703.96800000000007</v>
      </c>
    </row>
    <row r="468" spans="4:6" x14ac:dyDescent="0.25">
      <c r="D468" s="43" t="s">
        <v>102</v>
      </c>
      <c r="E468" s="43" t="s">
        <v>523</v>
      </c>
      <c r="F468" s="43">
        <v>92.52</v>
      </c>
    </row>
    <row r="469" spans="4:6" x14ac:dyDescent="0.25">
      <c r="D469" s="44" t="s">
        <v>116</v>
      </c>
      <c r="E469" s="44" t="s">
        <v>524</v>
      </c>
      <c r="F469" s="44">
        <v>62.649999999999991</v>
      </c>
    </row>
    <row r="470" spans="4:6" x14ac:dyDescent="0.25">
      <c r="D470" s="43" t="s">
        <v>116</v>
      </c>
      <c r="E470" s="43" t="s">
        <v>525</v>
      </c>
      <c r="F470" s="43">
        <v>94.85</v>
      </c>
    </row>
    <row r="471" spans="4:6" x14ac:dyDescent="0.25">
      <c r="D471" s="44" t="s">
        <v>108</v>
      </c>
      <c r="E471" s="44" t="s">
        <v>526</v>
      </c>
      <c r="F471" s="44">
        <v>95.76</v>
      </c>
    </row>
    <row r="472" spans="4:6" x14ac:dyDescent="0.25">
      <c r="D472" s="43" t="s">
        <v>104</v>
      </c>
      <c r="E472" s="43" t="s">
        <v>385</v>
      </c>
      <c r="F472" s="43">
        <v>40.200000000000003</v>
      </c>
    </row>
    <row r="473" spans="4:6" x14ac:dyDescent="0.25">
      <c r="D473" s="44" t="s">
        <v>106</v>
      </c>
      <c r="E473" s="44" t="s">
        <v>527</v>
      </c>
      <c r="F473" s="44">
        <v>14.7</v>
      </c>
    </row>
    <row r="474" spans="4:6" x14ac:dyDescent="0.25">
      <c r="D474" s="43" t="s">
        <v>102</v>
      </c>
      <c r="E474" s="43" t="s">
        <v>528</v>
      </c>
      <c r="F474" s="43">
        <v>704.25</v>
      </c>
    </row>
    <row r="475" spans="4:6" x14ac:dyDescent="0.25">
      <c r="D475" s="44" t="s">
        <v>130</v>
      </c>
      <c r="E475" s="44" t="s">
        <v>529</v>
      </c>
      <c r="F475" s="44">
        <v>9.09</v>
      </c>
    </row>
    <row r="476" spans="4:6" x14ac:dyDescent="0.25">
      <c r="D476" s="43" t="s">
        <v>106</v>
      </c>
      <c r="E476" s="43" t="s">
        <v>186</v>
      </c>
      <c r="F476" s="43">
        <v>5.96</v>
      </c>
    </row>
    <row r="477" spans="4:6" x14ac:dyDescent="0.25">
      <c r="D477" s="44" t="s">
        <v>130</v>
      </c>
      <c r="E477" s="44" t="s">
        <v>530</v>
      </c>
      <c r="F477" s="44">
        <v>159.97999999999999</v>
      </c>
    </row>
    <row r="478" spans="4:6" x14ac:dyDescent="0.25">
      <c r="D478" s="43" t="s">
        <v>98</v>
      </c>
      <c r="E478" s="43" t="s">
        <v>531</v>
      </c>
      <c r="F478" s="43">
        <v>29.6</v>
      </c>
    </row>
    <row r="479" spans="4:6" x14ac:dyDescent="0.25">
      <c r="D479" s="44" t="s">
        <v>94</v>
      </c>
      <c r="E479" s="44" t="s">
        <v>532</v>
      </c>
      <c r="F479" s="44">
        <v>514.16499999999996</v>
      </c>
    </row>
    <row r="480" spans="4:6" x14ac:dyDescent="0.25">
      <c r="D480" s="43" t="s">
        <v>108</v>
      </c>
      <c r="E480" s="43" t="s">
        <v>533</v>
      </c>
      <c r="F480" s="43">
        <v>279.95999999999998</v>
      </c>
    </row>
    <row r="481" spans="4:6" x14ac:dyDescent="0.25">
      <c r="D481" s="44" t="s">
        <v>108</v>
      </c>
      <c r="E481" s="44" t="s">
        <v>534</v>
      </c>
      <c r="F481" s="44">
        <v>2735.9520000000002</v>
      </c>
    </row>
    <row r="482" spans="4:6" x14ac:dyDescent="0.25">
      <c r="D482" s="43" t="s">
        <v>108</v>
      </c>
      <c r="E482" s="43" t="s">
        <v>535</v>
      </c>
      <c r="F482" s="43">
        <v>7.9920000000000009</v>
      </c>
    </row>
    <row r="483" spans="4:6" x14ac:dyDescent="0.25">
      <c r="D483" s="44" t="s">
        <v>130</v>
      </c>
      <c r="E483" s="44" t="s">
        <v>536</v>
      </c>
      <c r="F483" s="44">
        <v>63.984000000000009</v>
      </c>
    </row>
    <row r="484" spans="4:6" x14ac:dyDescent="0.25">
      <c r="D484" s="43" t="s">
        <v>106</v>
      </c>
      <c r="E484" s="43" t="s">
        <v>504</v>
      </c>
      <c r="F484" s="43">
        <v>70.367999999999995</v>
      </c>
    </row>
    <row r="485" spans="4:6" x14ac:dyDescent="0.25">
      <c r="D485" s="44" t="s">
        <v>102</v>
      </c>
      <c r="E485" s="44" t="s">
        <v>537</v>
      </c>
      <c r="F485" s="44">
        <v>449.15</v>
      </c>
    </row>
    <row r="486" spans="4:6" x14ac:dyDescent="0.25">
      <c r="D486" s="43" t="s">
        <v>135</v>
      </c>
      <c r="E486" s="43" t="s">
        <v>538</v>
      </c>
      <c r="F486" s="43">
        <v>11.07</v>
      </c>
    </row>
    <row r="487" spans="4:6" x14ac:dyDescent="0.25">
      <c r="D487" s="44" t="s">
        <v>130</v>
      </c>
      <c r="E487" s="44" t="s">
        <v>539</v>
      </c>
      <c r="F487" s="44">
        <v>93.98</v>
      </c>
    </row>
    <row r="488" spans="4:6" x14ac:dyDescent="0.25">
      <c r="D488" s="43" t="s">
        <v>100</v>
      </c>
      <c r="E488" s="43" t="s">
        <v>540</v>
      </c>
      <c r="F488" s="43">
        <v>189.88200000000001</v>
      </c>
    </row>
    <row r="489" spans="4:6" x14ac:dyDescent="0.25">
      <c r="D489" s="44" t="s">
        <v>135</v>
      </c>
      <c r="E489" s="44" t="s">
        <v>541</v>
      </c>
      <c r="F489" s="44">
        <v>105.42</v>
      </c>
    </row>
    <row r="490" spans="4:6" x14ac:dyDescent="0.25">
      <c r="D490" s="43" t="s">
        <v>110</v>
      </c>
      <c r="E490" s="43" t="s">
        <v>542</v>
      </c>
      <c r="F490" s="43">
        <v>119.61600000000001</v>
      </c>
    </row>
    <row r="491" spans="4:6" x14ac:dyDescent="0.25">
      <c r="D491" s="44" t="s">
        <v>104</v>
      </c>
      <c r="E491" s="44" t="s">
        <v>543</v>
      </c>
      <c r="F491" s="44">
        <v>255.76</v>
      </c>
    </row>
    <row r="492" spans="4:6" x14ac:dyDescent="0.25">
      <c r="D492" s="43" t="s">
        <v>96</v>
      </c>
      <c r="E492" s="43" t="s">
        <v>398</v>
      </c>
      <c r="F492" s="43">
        <v>241.56799999999998</v>
      </c>
    </row>
    <row r="493" spans="4:6" x14ac:dyDescent="0.25">
      <c r="D493" s="44" t="s">
        <v>104</v>
      </c>
      <c r="E493" s="44" t="s">
        <v>544</v>
      </c>
      <c r="F493" s="44">
        <v>69.3</v>
      </c>
    </row>
    <row r="494" spans="4:6" x14ac:dyDescent="0.25">
      <c r="D494" s="43" t="s">
        <v>110</v>
      </c>
      <c r="E494" s="43" t="s">
        <v>545</v>
      </c>
      <c r="F494" s="43">
        <v>22.620000000000005</v>
      </c>
    </row>
    <row r="495" spans="4:6" x14ac:dyDescent="0.25">
      <c r="D495" s="44" t="s">
        <v>110</v>
      </c>
      <c r="E495" s="44" t="s">
        <v>546</v>
      </c>
      <c r="F495" s="44">
        <v>14.952000000000004</v>
      </c>
    </row>
    <row r="496" spans="4:6" x14ac:dyDescent="0.25">
      <c r="D496" s="43" t="s">
        <v>96</v>
      </c>
      <c r="E496" s="43" t="s">
        <v>547</v>
      </c>
      <c r="F496" s="43">
        <v>801.5680000000001</v>
      </c>
    </row>
    <row r="497" spans="4:6" x14ac:dyDescent="0.25">
      <c r="D497" s="44" t="s">
        <v>110</v>
      </c>
      <c r="E497" s="44" t="s">
        <v>548</v>
      </c>
      <c r="F497" s="44">
        <v>2.3760000000000003</v>
      </c>
    </row>
    <row r="498" spans="4:6" x14ac:dyDescent="0.25">
      <c r="D498" s="43" t="s">
        <v>116</v>
      </c>
      <c r="E498" s="43" t="s">
        <v>549</v>
      </c>
      <c r="F498" s="43">
        <v>32.792000000000002</v>
      </c>
    </row>
    <row r="499" spans="4:6" x14ac:dyDescent="0.25">
      <c r="D499" s="44" t="s">
        <v>110</v>
      </c>
      <c r="E499" s="44" t="s">
        <v>228</v>
      </c>
      <c r="F499" s="44">
        <v>15.920000000000002</v>
      </c>
    </row>
    <row r="500" spans="4:6" x14ac:dyDescent="0.25">
      <c r="D500" s="43" t="s">
        <v>106</v>
      </c>
      <c r="E500" s="43" t="s">
        <v>550</v>
      </c>
      <c r="F500" s="43">
        <v>2.74</v>
      </c>
    </row>
    <row r="501" spans="4:6" x14ac:dyDescent="0.25">
      <c r="D501" s="44" t="s">
        <v>106</v>
      </c>
      <c r="E501" s="44" t="s">
        <v>551</v>
      </c>
      <c r="F501" s="44">
        <v>8.34</v>
      </c>
    </row>
    <row r="502" spans="4:6" x14ac:dyDescent="0.25">
      <c r="D502" s="43" t="s">
        <v>102</v>
      </c>
      <c r="E502" s="43" t="s">
        <v>552</v>
      </c>
      <c r="F502" s="43">
        <v>46.74</v>
      </c>
    </row>
    <row r="503" spans="4:6" x14ac:dyDescent="0.25">
      <c r="D503" s="44" t="s">
        <v>110</v>
      </c>
      <c r="E503" s="44" t="s">
        <v>553</v>
      </c>
      <c r="F503" s="44">
        <v>6354.95</v>
      </c>
    </row>
    <row r="504" spans="4:6" x14ac:dyDescent="0.25">
      <c r="D504" s="43" t="s">
        <v>104</v>
      </c>
      <c r="E504" s="43" t="s">
        <v>554</v>
      </c>
      <c r="F504" s="43">
        <v>126.30000000000001</v>
      </c>
    </row>
    <row r="505" spans="4:6" x14ac:dyDescent="0.25">
      <c r="D505" s="44" t="s">
        <v>130</v>
      </c>
      <c r="E505" s="44" t="s">
        <v>555</v>
      </c>
      <c r="F505" s="44">
        <v>38.04</v>
      </c>
    </row>
    <row r="506" spans="4:6" x14ac:dyDescent="0.25">
      <c r="D506" s="43" t="s">
        <v>106</v>
      </c>
      <c r="E506" s="43" t="s">
        <v>186</v>
      </c>
      <c r="F506" s="43">
        <v>7.1519999999999992</v>
      </c>
    </row>
    <row r="507" spans="4:6" x14ac:dyDescent="0.25">
      <c r="D507" s="44" t="s">
        <v>106</v>
      </c>
      <c r="E507" s="44" t="s">
        <v>556</v>
      </c>
      <c r="F507" s="44">
        <v>6.63</v>
      </c>
    </row>
    <row r="508" spans="4:6" x14ac:dyDescent="0.25">
      <c r="D508" s="43" t="s">
        <v>106</v>
      </c>
      <c r="E508" s="43" t="s">
        <v>557</v>
      </c>
      <c r="F508" s="43">
        <v>5.88</v>
      </c>
    </row>
    <row r="509" spans="4:6" x14ac:dyDescent="0.25">
      <c r="D509" s="44" t="s">
        <v>412</v>
      </c>
      <c r="E509" s="44" t="s">
        <v>558</v>
      </c>
      <c r="F509" s="44">
        <v>2999.95</v>
      </c>
    </row>
    <row r="510" spans="4:6" x14ac:dyDescent="0.25">
      <c r="D510" s="43" t="s">
        <v>102</v>
      </c>
      <c r="E510" s="43" t="s">
        <v>559</v>
      </c>
      <c r="F510" s="43">
        <v>51.449999999999996</v>
      </c>
    </row>
    <row r="511" spans="4:6" x14ac:dyDescent="0.25">
      <c r="D511" s="44" t="s">
        <v>116</v>
      </c>
      <c r="E511" s="44" t="s">
        <v>560</v>
      </c>
      <c r="F511" s="44">
        <v>11.96</v>
      </c>
    </row>
    <row r="512" spans="4:6" x14ac:dyDescent="0.25">
      <c r="D512" s="43" t="s">
        <v>102</v>
      </c>
      <c r="E512" s="43" t="s">
        <v>561</v>
      </c>
      <c r="F512" s="43">
        <v>1126.02</v>
      </c>
    </row>
    <row r="513" spans="4:6" x14ac:dyDescent="0.25">
      <c r="D513" s="44" t="s">
        <v>130</v>
      </c>
      <c r="E513" s="44" t="s">
        <v>149</v>
      </c>
      <c r="F513" s="44">
        <v>18.391999999999999</v>
      </c>
    </row>
    <row r="514" spans="4:6" x14ac:dyDescent="0.25">
      <c r="D514" s="43" t="s">
        <v>102</v>
      </c>
      <c r="E514" s="43" t="s">
        <v>562</v>
      </c>
      <c r="F514" s="43">
        <v>129.56800000000001</v>
      </c>
    </row>
    <row r="515" spans="4:6" x14ac:dyDescent="0.25">
      <c r="D515" s="44" t="s">
        <v>110</v>
      </c>
      <c r="E515" s="44" t="s">
        <v>563</v>
      </c>
      <c r="F515" s="44">
        <v>14.111999999999997</v>
      </c>
    </row>
    <row r="516" spans="4:6" x14ac:dyDescent="0.25">
      <c r="D516" s="43" t="s">
        <v>100</v>
      </c>
      <c r="E516" s="43" t="s">
        <v>540</v>
      </c>
      <c r="F516" s="43">
        <v>210.98</v>
      </c>
    </row>
    <row r="517" spans="4:6" x14ac:dyDescent="0.25">
      <c r="D517" s="44" t="s">
        <v>108</v>
      </c>
      <c r="E517" s="44" t="s">
        <v>564</v>
      </c>
      <c r="F517" s="44">
        <v>55.176000000000002</v>
      </c>
    </row>
    <row r="518" spans="4:6" x14ac:dyDescent="0.25">
      <c r="D518" s="43" t="s">
        <v>130</v>
      </c>
      <c r="E518" s="43" t="s">
        <v>565</v>
      </c>
      <c r="F518" s="43">
        <v>66.260000000000005</v>
      </c>
    </row>
    <row r="519" spans="4:6" x14ac:dyDescent="0.25">
      <c r="D519" s="44" t="s">
        <v>158</v>
      </c>
      <c r="E519" s="44" t="s">
        <v>234</v>
      </c>
      <c r="F519" s="44">
        <v>22.200000000000003</v>
      </c>
    </row>
    <row r="520" spans="4:6" x14ac:dyDescent="0.25">
      <c r="D520" s="43" t="s">
        <v>96</v>
      </c>
      <c r="E520" s="43" t="s">
        <v>566</v>
      </c>
      <c r="F520" s="43">
        <v>683.95200000000011</v>
      </c>
    </row>
    <row r="521" spans="4:6" x14ac:dyDescent="0.25">
      <c r="D521" s="44" t="s">
        <v>104</v>
      </c>
      <c r="E521" s="44" t="s">
        <v>392</v>
      </c>
      <c r="F521" s="44">
        <v>45.695999999999998</v>
      </c>
    </row>
    <row r="522" spans="4:6" x14ac:dyDescent="0.25">
      <c r="D522" s="43" t="s">
        <v>102</v>
      </c>
      <c r="E522" s="43" t="s">
        <v>567</v>
      </c>
      <c r="F522" s="43">
        <v>36.336000000000006</v>
      </c>
    </row>
    <row r="523" spans="4:6" x14ac:dyDescent="0.25">
      <c r="D523" s="44" t="s">
        <v>240</v>
      </c>
      <c r="E523" s="44" t="s">
        <v>568</v>
      </c>
      <c r="F523" s="44">
        <v>666.24800000000005</v>
      </c>
    </row>
    <row r="524" spans="4:6" x14ac:dyDescent="0.25">
      <c r="D524" s="43" t="s">
        <v>135</v>
      </c>
      <c r="E524" s="43" t="s">
        <v>569</v>
      </c>
      <c r="F524" s="43">
        <v>52.512</v>
      </c>
    </row>
    <row r="525" spans="4:6" x14ac:dyDescent="0.25">
      <c r="D525" s="44" t="s">
        <v>96</v>
      </c>
      <c r="E525" s="44" t="s">
        <v>570</v>
      </c>
      <c r="F525" s="44">
        <v>190.72000000000003</v>
      </c>
    </row>
    <row r="526" spans="4:6" x14ac:dyDescent="0.25">
      <c r="D526" s="43" t="s">
        <v>104</v>
      </c>
      <c r="E526" s="43" t="s">
        <v>571</v>
      </c>
      <c r="F526" s="43">
        <v>47.94</v>
      </c>
    </row>
    <row r="527" spans="4:6" x14ac:dyDescent="0.25">
      <c r="D527" s="44" t="s">
        <v>108</v>
      </c>
      <c r="E527" s="44" t="s">
        <v>572</v>
      </c>
      <c r="F527" s="44">
        <v>979.95</v>
      </c>
    </row>
    <row r="528" spans="4:6" x14ac:dyDescent="0.25">
      <c r="D528" s="43" t="s">
        <v>110</v>
      </c>
      <c r="E528" s="43" t="s">
        <v>356</v>
      </c>
      <c r="F528" s="43">
        <v>22.75</v>
      </c>
    </row>
    <row r="529" spans="4:6" x14ac:dyDescent="0.25">
      <c r="D529" s="44" t="s">
        <v>102</v>
      </c>
      <c r="E529" s="44" t="s">
        <v>573</v>
      </c>
      <c r="F529" s="44">
        <v>16.768000000000001</v>
      </c>
    </row>
    <row r="530" spans="4:6" x14ac:dyDescent="0.25">
      <c r="D530" s="43" t="s">
        <v>110</v>
      </c>
      <c r="E530" s="43" t="s">
        <v>574</v>
      </c>
      <c r="F530" s="43">
        <v>42.615999999999993</v>
      </c>
    </row>
    <row r="531" spans="4:6" x14ac:dyDescent="0.25">
      <c r="D531" s="44" t="s">
        <v>110</v>
      </c>
      <c r="E531" s="44" t="s">
        <v>575</v>
      </c>
      <c r="F531" s="44">
        <v>10.752000000000001</v>
      </c>
    </row>
    <row r="532" spans="4:6" x14ac:dyDescent="0.25">
      <c r="D532" s="43" t="s">
        <v>112</v>
      </c>
      <c r="E532" s="43" t="s">
        <v>576</v>
      </c>
      <c r="F532" s="43">
        <v>152.94</v>
      </c>
    </row>
    <row r="533" spans="4:6" x14ac:dyDescent="0.25">
      <c r="D533" s="44" t="s">
        <v>96</v>
      </c>
      <c r="E533" s="44" t="s">
        <v>577</v>
      </c>
      <c r="F533" s="44">
        <v>283.92</v>
      </c>
    </row>
    <row r="534" spans="4:6" x14ac:dyDescent="0.25">
      <c r="D534" s="43" t="s">
        <v>130</v>
      </c>
      <c r="E534" s="43" t="s">
        <v>578</v>
      </c>
      <c r="F534" s="43">
        <v>468.90000000000003</v>
      </c>
    </row>
    <row r="535" spans="4:6" x14ac:dyDescent="0.25">
      <c r="D535" s="44" t="s">
        <v>108</v>
      </c>
      <c r="E535" s="44" t="s">
        <v>579</v>
      </c>
      <c r="F535" s="44">
        <v>380.86400000000003</v>
      </c>
    </row>
    <row r="536" spans="4:6" x14ac:dyDescent="0.25">
      <c r="D536" s="43" t="s">
        <v>102</v>
      </c>
      <c r="E536" s="43" t="s">
        <v>537</v>
      </c>
      <c r="F536" s="43">
        <v>646.77600000000007</v>
      </c>
    </row>
    <row r="537" spans="4:6" x14ac:dyDescent="0.25">
      <c r="D537" s="44" t="s">
        <v>130</v>
      </c>
      <c r="E537" s="44" t="s">
        <v>580</v>
      </c>
      <c r="F537" s="44">
        <v>58.112000000000002</v>
      </c>
    </row>
    <row r="538" spans="4:6" x14ac:dyDescent="0.25">
      <c r="D538" s="43" t="s">
        <v>108</v>
      </c>
      <c r="E538" s="43" t="s">
        <v>581</v>
      </c>
      <c r="F538" s="43">
        <v>100.792</v>
      </c>
    </row>
    <row r="539" spans="4:6" x14ac:dyDescent="0.25">
      <c r="D539" s="44" t="s">
        <v>104</v>
      </c>
      <c r="E539" s="44" t="s">
        <v>582</v>
      </c>
      <c r="F539" s="44">
        <v>66.112000000000009</v>
      </c>
    </row>
    <row r="540" spans="4:6" x14ac:dyDescent="0.25">
      <c r="D540" s="43" t="s">
        <v>110</v>
      </c>
      <c r="E540" s="43" t="s">
        <v>583</v>
      </c>
      <c r="F540" s="43">
        <v>41.28</v>
      </c>
    </row>
    <row r="541" spans="4:6" x14ac:dyDescent="0.25">
      <c r="D541" s="44" t="s">
        <v>116</v>
      </c>
      <c r="E541" s="44" t="s">
        <v>584</v>
      </c>
      <c r="F541" s="44">
        <v>13.36</v>
      </c>
    </row>
    <row r="542" spans="4:6" x14ac:dyDescent="0.25">
      <c r="D542" s="43" t="s">
        <v>102</v>
      </c>
      <c r="E542" s="43" t="s">
        <v>161</v>
      </c>
      <c r="F542" s="43">
        <v>250.27199999999999</v>
      </c>
    </row>
    <row r="543" spans="4:6" x14ac:dyDescent="0.25">
      <c r="D543" s="44" t="s">
        <v>110</v>
      </c>
      <c r="E543" s="44" t="s">
        <v>199</v>
      </c>
      <c r="F543" s="44">
        <v>11.363999999999997</v>
      </c>
    </row>
    <row r="544" spans="4:6" x14ac:dyDescent="0.25">
      <c r="D544" s="43" t="s">
        <v>240</v>
      </c>
      <c r="E544" s="43" t="s">
        <v>434</v>
      </c>
      <c r="F544" s="43">
        <v>8.7200000000000006</v>
      </c>
    </row>
    <row r="545" spans="4:6" x14ac:dyDescent="0.25">
      <c r="D545" s="44" t="s">
        <v>96</v>
      </c>
      <c r="E545" s="44" t="s">
        <v>585</v>
      </c>
      <c r="F545" s="44">
        <v>1121.568</v>
      </c>
    </row>
    <row r="546" spans="4:6" x14ac:dyDescent="0.25">
      <c r="D546" s="43" t="s">
        <v>104</v>
      </c>
      <c r="E546" s="43" t="s">
        <v>586</v>
      </c>
      <c r="F546" s="43">
        <v>34.504000000000005</v>
      </c>
    </row>
    <row r="547" spans="4:6" x14ac:dyDescent="0.25">
      <c r="D547" s="44" t="s">
        <v>158</v>
      </c>
      <c r="E547" s="44" t="s">
        <v>587</v>
      </c>
      <c r="F547" s="44">
        <v>10.824</v>
      </c>
    </row>
    <row r="548" spans="4:6" x14ac:dyDescent="0.25">
      <c r="D548" s="43" t="s">
        <v>102</v>
      </c>
      <c r="E548" s="43" t="s">
        <v>588</v>
      </c>
      <c r="F548" s="43">
        <v>1295.78</v>
      </c>
    </row>
    <row r="549" spans="4:6" x14ac:dyDescent="0.25">
      <c r="D549" s="44" t="s">
        <v>106</v>
      </c>
      <c r="E549" s="44" t="s">
        <v>589</v>
      </c>
      <c r="F549" s="44">
        <v>19.456000000000003</v>
      </c>
    </row>
    <row r="550" spans="4:6" x14ac:dyDescent="0.25">
      <c r="D550" s="43" t="s">
        <v>98</v>
      </c>
      <c r="E550" s="43" t="s">
        <v>590</v>
      </c>
      <c r="F550" s="43">
        <v>20.7</v>
      </c>
    </row>
    <row r="551" spans="4:6" x14ac:dyDescent="0.25">
      <c r="D551" s="44" t="s">
        <v>100</v>
      </c>
      <c r="E551" s="44" t="s">
        <v>591</v>
      </c>
      <c r="F551" s="44">
        <v>1335.68</v>
      </c>
    </row>
    <row r="552" spans="4:6" x14ac:dyDescent="0.25">
      <c r="D552" s="43" t="s">
        <v>116</v>
      </c>
      <c r="E552" s="43" t="s">
        <v>592</v>
      </c>
      <c r="F552" s="43">
        <v>32.400000000000006</v>
      </c>
    </row>
    <row r="553" spans="4:6" x14ac:dyDescent="0.25">
      <c r="D553" s="44" t="s">
        <v>104</v>
      </c>
      <c r="E553" s="44" t="s">
        <v>483</v>
      </c>
      <c r="F553" s="44">
        <v>42.599999999999994</v>
      </c>
    </row>
    <row r="554" spans="4:6" x14ac:dyDescent="0.25">
      <c r="D554" s="43" t="s">
        <v>110</v>
      </c>
      <c r="E554" s="43" t="s">
        <v>593</v>
      </c>
      <c r="F554" s="43">
        <v>84.056000000000012</v>
      </c>
    </row>
    <row r="555" spans="4:6" x14ac:dyDescent="0.25">
      <c r="D555" s="44" t="s">
        <v>112</v>
      </c>
      <c r="E555" s="44" t="s">
        <v>594</v>
      </c>
      <c r="F555" s="44">
        <v>13</v>
      </c>
    </row>
    <row r="556" spans="4:6" x14ac:dyDescent="0.25">
      <c r="D556" s="43" t="s">
        <v>104</v>
      </c>
      <c r="E556" s="43" t="s">
        <v>595</v>
      </c>
      <c r="F556" s="43">
        <v>13.128</v>
      </c>
    </row>
    <row r="557" spans="4:6" x14ac:dyDescent="0.25">
      <c r="D557" s="44" t="s">
        <v>158</v>
      </c>
      <c r="E557" s="44" t="s">
        <v>596</v>
      </c>
      <c r="F557" s="44">
        <v>3.96</v>
      </c>
    </row>
    <row r="558" spans="4:6" x14ac:dyDescent="0.25">
      <c r="D558" s="43" t="s">
        <v>98</v>
      </c>
      <c r="E558" s="43" t="s">
        <v>393</v>
      </c>
      <c r="F558" s="43">
        <v>2.61</v>
      </c>
    </row>
    <row r="559" spans="4:6" x14ac:dyDescent="0.25">
      <c r="D559" s="44" t="s">
        <v>108</v>
      </c>
      <c r="E559" s="44" t="s">
        <v>597</v>
      </c>
      <c r="F559" s="44">
        <v>374.37600000000003</v>
      </c>
    </row>
    <row r="560" spans="4:6" x14ac:dyDescent="0.25">
      <c r="D560" s="43" t="s">
        <v>116</v>
      </c>
      <c r="E560" s="43" t="s">
        <v>598</v>
      </c>
      <c r="F560" s="43">
        <v>91.84</v>
      </c>
    </row>
    <row r="561" spans="4:6" x14ac:dyDescent="0.25">
      <c r="D561" s="44" t="s">
        <v>110</v>
      </c>
      <c r="E561" s="44" t="s">
        <v>599</v>
      </c>
      <c r="F561" s="44">
        <v>81.088000000000008</v>
      </c>
    </row>
    <row r="562" spans="4:6" x14ac:dyDescent="0.25">
      <c r="D562" s="43" t="s">
        <v>116</v>
      </c>
      <c r="E562" s="43" t="s">
        <v>600</v>
      </c>
      <c r="F562" s="43">
        <v>19.440000000000001</v>
      </c>
    </row>
    <row r="563" spans="4:6" x14ac:dyDescent="0.25">
      <c r="D563" s="44" t="s">
        <v>96</v>
      </c>
      <c r="E563" s="44" t="s">
        <v>601</v>
      </c>
      <c r="F563" s="44">
        <v>451.15199999999993</v>
      </c>
    </row>
    <row r="564" spans="4:6" x14ac:dyDescent="0.25">
      <c r="D564" s="43" t="s">
        <v>98</v>
      </c>
      <c r="E564" s="43" t="s">
        <v>590</v>
      </c>
      <c r="F564" s="43">
        <v>72.45</v>
      </c>
    </row>
    <row r="565" spans="4:6" x14ac:dyDescent="0.25">
      <c r="D565" s="44" t="s">
        <v>158</v>
      </c>
      <c r="E565" s="44" t="s">
        <v>311</v>
      </c>
      <c r="F565" s="44">
        <v>13.96</v>
      </c>
    </row>
    <row r="566" spans="4:6" x14ac:dyDescent="0.25">
      <c r="D566" s="43" t="s">
        <v>110</v>
      </c>
      <c r="E566" s="43" t="s">
        <v>411</v>
      </c>
      <c r="F566" s="43">
        <v>33.264000000000003</v>
      </c>
    </row>
    <row r="567" spans="4:6" x14ac:dyDescent="0.25">
      <c r="D567" s="44" t="s">
        <v>108</v>
      </c>
      <c r="E567" s="44" t="s">
        <v>602</v>
      </c>
      <c r="F567" s="44">
        <v>14.850000000000001</v>
      </c>
    </row>
    <row r="568" spans="4:6" x14ac:dyDescent="0.25">
      <c r="D568" s="43" t="s">
        <v>106</v>
      </c>
      <c r="E568" s="43" t="s">
        <v>603</v>
      </c>
      <c r="F568" s="43">
        <v>8.82</v>
      </c>
    </row>
    <row r="569" spans="4:6" x14ac:dyDescent="0.25">
      <c r="D569" s="44" t="s">
        <v>116</v>
      </c>
      <c r="E569" s="44" t="s">
        <v>598</v>
      </c>
      <c r="F569" s="44">
        <v>160.72</v>
      </c>
    </row>
    <row r="570" spans="4:6" x14ac:dyDescent="0.25">
      <c r="D570" s="43" t="s">
        <v>116</v>
      </c>
      <c r="E570" s="43" t="s">
        <v>604</v>
      </c>
      <c r="F570" s="43">
        <v>19.920000000000002</v>
      </c>
    </row>
    <row r="571" spans="4:6" x14ac:dyDescent="0.25">
      <c r="D571" s="44" t="s">
        <v>240</v>
      </c>
      <c r="E571" s="44" t="s">
        <v>605</v>
      </c>
      <c r="F571" s="44">
        <v>7.3</v>
      </c>
    </row>
    <row r="572" spans="4:6" x14ac:dyDescent="0.25">
      <c r="D572" s="43" t="s">
        <v>102</v>
      </c>
      <c r="E572" s="43" t="s">
        <v>229</v>
      </c>
      <c r="F572" s="43">
        <v>69.712000000000003</v>
      </c>
    </row>
    <row r="573" spans="4:6" x14ac:dyDescent="0.25">
      <c r="D573" s="44" t="s">
        <v>104</v>
      </c>
      <c r="E573" s="44" t="s">
        <v>606</v>
      </c>
      <c r="F573" s="44">
        <v>8.7919999999999998</v>
      </c>
    </row>
    <row r="574" spans="4:6" x14ac:dyDescent="0.25">
      <c r="D574" s="43" t="s">
        <v>240</v>
      </c>
      <c r="E574" s="43" t="s">
        <v>607</v>
      </c>
      <c r="F574" s="43">
        <v>51.52</v>
      </c>
    </row>
    <row r="575" spans="4:6" x14ac:dyDescent="0.25">
      <c r="D575" s="44" t="s">
        <v>108</v>
      </c>
      <c r="E575" s="44" t="s">
        <v>141</v>
      </c>
      <c r="F575" s="44">
        <v>470.37600000000009</v>
      </c>
    </row>
    <row r="576" spans="4:6" x14ac:dyDescent="0.25">
      <c r="D576" s="43" t="s">
        <v>108</v>
      </c>
      <c r="E576" s="43" t="s">
        <v>608</v>
      </c>
      <c r="F576" s="43">
        <v>105.584</v>
      </c>
    </row>
    <row r="577" spans="4:6" x14ac:dyDescent="0.25">
      <c r="D577" s="44" t="s">
        <v>112</v>
      </c>
      <c r="E577" s="44" t="s">
        <v>202</v>
      </c>
      <c r="F577" s="44">
        <v>31.152000000000001</v>
      </c>
    </row>
    <row r="578" spans="4:6" x14ac:dyDescent="0.25">
      <c r="D578" s="43" t="s">
        <v>110</v>
      </c>
      <c r="E578" s="43" t="s">
        <v>609</v>
      </c>
      <c r="F578" s="43">
        <v>6.7830000000000004</v>
      </c>
    </row>
    <row r="579" spans="4:6" x14ac:dyDescent="0.25">
      <c r="D579" s="44" t="s">
        <v>108</v>
      </c>
      <c r="E579" s="44" t="s">
        <v>251</v>
      </c>
      <c r="F579" s="44">
        <v>406.36799999999999</v>
      </c>
    </row>
    <row r="580" spans="4:6" x14ac:dyDescent="0.25">
      <c r="D580" s="43" t="s">
        <v>96</v>
      </c>
      <c r="E580" s="43" t="s">
        <v>472</v>
      </c>
      <c r="F580" s="43">
        <v>70.98</v>
      </c>
    </row>
    <row r="581" spans="4:6" x14ac:dyDescent="0.25">
      <c r="D581" s="44" t="s">
        <v>98</v>
      </c>
      <c r="E581" s="44" t="s">
        <v>610</v>
      </c>
      <c r="F581" s="44">
        <v>294.93</v>
      </c>
    </row>
    <row r="582" spans="4:6" x14ac:dyDescent="0.25">
      <c r="D582" s="43" t="s">
        <v>108</v>
      </c>
      <c r="E582" s="43" t="s">
        <v>611</v>
      </c>
      <c r="F582" s="43">
        <v>84.784000000000006</v>
      </c>
    </row>
    <row r="583" spans="4:6" x14ac:dyDescent="0.25">
      <c r="D583" s="44" t="s">
        <v>116</v>
      </c>
      <c r="E583" s="44" t="s">
        <v>612</v>
      </c>
      <c r="F583" s="44">
        <v>20.736000000000004</v>
      </c>
    </row>
    <row r="584" spans="4:6" x14ac:dyDescent="0.25">
      <c r="D584" s="43" t="s">
        <v>110</v>
      </c>
      <c r="E584" s="43" t="s">
        <v>542</v>
      </c>
      <c r="F584" s="43">
        <v>16.821000000000005</v>
      </c>
    </row>
    <row r="585" spans="4:6" x14ac:dyDescent="0.25">
      <c r="D585" s="44" t="s">
        <v>116</v>
      </c>
      <c r="E585" s="44" t="s">
        <v>613</v>
      </c>
      <c r="F585" s="44">
        <v>10.368000000000002</v>
      </c>
    </row>
    <row r="586" spans="4:6" x14ac:dyDescent="0.25">
      <c r="D586" s="43" t="s">
        <v>106</v>
      </c>
      <c r="E586" s="43" t="s">
        <v>614</v>
      </c>
      <c r="F586" s="43">
        <v>9.3439999999999994</v>
      </c>
    </row>
    <row r="587" spans="4:6" x14ac:dyDescent="0.25">
      <c r="D587" s="44" t="s">
        <v>130</v>
      </c>
      <c r="E587" s="44" t="s">
        <v>305</v>
      </c>
      <c r="F587" s="44">
        <v>31.200000000000003</v>
      </c>
    </row>
    <row r="588" spans="4:6" x14ac:dyDescent="0.25">
      <c r="D588" s="43" t="s">
        <v>112</v>
      </c>
      <c r="E588" s="43" t="s">
        <v>615</v>
      </c>
      <c r="F588" s="43">
        <v>76.12</v>
      </c>
    </row>
    <row r="589" spans="4:6" x14ac:dyDescent="0.25">
      <c r="D589" s="44" t="s">
        <v>412</v>
      </c>
      <c r="E589" s="44" t="s">
        <v>465</v>
      </c>
      <c r="F589" s="44">
        <v>1199.9760000000001</v>
      </c>
    </row>
    <row r="590" spans="4:6" x14ac:dyDescent="0.25">
      <c r="D590" s="43" t="s">
        <v>108</v>
      </c>
      <c r="E590" s="43" t="s">
        <v>395</v>
      </c>
      <c r="F590" s="43">
        <v>445.96000000000004</v>
      </c>
    </row>
    <row r="591" spans="4:6" x14ac:dyDescent="0.25">
      <c r="D591" s="44" t="s">
        <v>104</v>
      </c>
      <c r="E591" s="44" t="s">
        <v>616</v>
      </c>
      <c r="F591" s="44">
        <v>327.76</v>
      </c>
    </row>
    <row r="592" spans="4:6" x14ac:dyDescent="0.25">
      <c r="D592" s="43" t="s">
        <v>240</v>
      </c>
      <c r="E592" s="43" t="s">
        <v>617</v>
      </c>
      <c r="F592" s="43">
        <v>11.632</v>
      </c>
    </row>
    <row r="593" spans="4:6" x14ac:dyDescent="0.25">
      <c r="D593" s="44" t="s">
        <v>108</v>
      </c>
      <c r="E593" s="44" t="s">
        <v>618</v>
      </c>
      <c r="F593" s="44">
        <v>143.98199999999997</v>
      </c>
    </row>
    <row r="594" spans="4:6" x14ac:dyDescent="0.25">
      <c r="D594" s="43" t="s">
        <v>108</v>
      </c>
      <c r="E594" s="43" t="s">
        <v>619</v>
      </c>
      <c r="F594" s="43">
        <v>494.37599999999998</v>
      </c>
    </row>
    <row r="595" spans="4:6" x14ac:dyDescent="0.25">
      <c r="D595" s="44" t="s">
        <v>240</v>
      </c>
      <c r="E595" s="44" t="s">
        <v>605</v>
      </c>
      <c r="F595" s="44">
        <v>5.84</v>
      </c>
    </row>
    <row r="596" spans="4:6" x14ac:dyDescent="0.25">
      <c r="D596" s="43" t="s">
        <v>102</v>
      </c>
      <c r="E596" s="43" t="s">
        <v>620</v>
      </c>
      <c r="F596" s="43">
        <v>142.77600000000001</v>
      </c>
    </row>
    <row r="597" spans="4:6" x14ac:dyDescent="0.25">
      <c r="D597" s="44" t="s">
        <v>104</v>
      </c>
      <c r="E597" s="44" t="s">
        <v>392</v>
      </c>
      <c r="F597" s="44">
        <v>45.695999999999998</v>
      </c>
    </row>
    <row r="598" spans="4:6" x14ac:dyDescent="0.25">
      <c r="D598" s="43" t="s">
        <v>110</v>
      </c>
      <c r="E598" s="43" t="s">
        <v>490</v>
      </c>
      <c r="F598" s="43">
        <v>7.218</v>
      </c>
    </row>
    <row r="599" spans="4:6" x14ac:dyDescent="0.25">
      <c r="D599" s="44" t="s">
        <v>110</v>
      </c>
      <c r="E599" s="44" t="s">
        <v>484</v>
      </c>
      <c r="F599" s="44">
        <v>43.188000000000009</v>
      </c>
    </row>
    <row r="600" spans="4:6" x14ac:dyDescent="0.25">
      <c r="D600" s="43" t="s">
        <v>116</v>
      </c>
      <c r="E600" s="43" t="s">
        <v>621</v>
      </c>
      <c r="F600" s="43">
        <v>131.904</v>
      </c>
    </row>
    <row r="601" spans="4:6" x14ac:dyDescent="0.25">
      <c r="D601" s="44" t="s">
        <v>110</v>
      </c>
      <c r="E601" s="44" t="s">
        <v>622</v>
      </c>
      <c r="F601" s="44">
        <v>3.2820000000000005</v>
      </c>
    </row>
    <row r="602" spans="4:6" x14ac:dyDescent="0.25">
      <c r="D602" s="43" t="s">
        <v>106</v>
      </c>
      <c r="E602" s="43" t="s">
        <v>557</v>
      </c>
      <c r="F602" s="43">
        <v>21.167999999999999</v>
      </c>
    </row>
    <row r="603" spans="4:6" x14ac:dyDescent="0.25">
      <c r="D603" s="44" t="s">
        <v>108</v>
      </c>
      <c r="E603" s="44" t="s">
        <v>623</v>
      </c>
      <c r="F603" s="44">
        <v>55.188000000000002</v>
      </c>
    </row>
    <row r="604" spans="4:6" x14ac:dyDescent="0.25">
      <c r="D604" s="43" t="s">
        <v>108</v>
      </c>
      <c r="E604" s="43" t="s">
        <v>452</v>
      </c>
      <c r="F604" s="43">
        <v>369.57600000000002</v>
      </c>
    </row>
    <row r="605" spans="4:6" x14ac:dyDescent="0.25">
      <c r="D605" s="44" t="s">
        <v>98</v>
      </c>
      <c r="E605" s="44" t="s">
        <v>624</v>
      </c>
      <c r="F605" s="44">
        <v>15.712000000000002</v>
      </c>
    </row>
    <row r="606" spans="4:6" x14ac:dyDescent="0.25">
      <c r="D606" s="43" t="s">
        <v>116</v>
      </c>
      <c r="E606" s="43" t="s">
        <v>625</v>
      </c>
      <c r="F606" s="43">
        <v>8.4480000000000004</v>
      </c>
    </row>
    <row r="607" spans="4:6" x14ac:dyDescent="0.25">
      <c r="D607" s="44" t="s">
        <v>108</v>
      </c>
      <c r="E607" s="44" t="s">
        <v>626</v>
      </c>
      <c r="F607" s="44">
        <v>728.94600000000003</v>
      </c>
    </row>
    <row r="608" spans="4:6" x14ac:dyDescent="0.25">
      <c r="D608" s="43" t="s">
        <v>108</v>
      </c>
      <c r="E608" s="43" t="s">
        <v>330</v>
      </c>
      <c r="F608" s="43">
        <v>119.93999999999998</v>
      </c>
    </row>
    <row r="609" spans="4:6" x14ac:dyDescent="0.25">
      <c r="D609" s="44" t="s">
        <v>110</v>
      </c>
      <c r="E609" s="44" t="s">
        <v>627</v>
      </c>
      <c r="F609" s="44">
        <v>3.6480000000000006</v>
      </c>
    </row>
    <row r="610" spans="4:6" x14ac:dyDescent="0.25">
      <c r="D610" s="43" t="s">
        <v>104</v>
      </c>
      <c r="E610" s="43" t="s">
        <v>628</v>
      </c>
      <c r="F610" s="43">
        <v>40.479999999999997</v>
      </c>
    </row>
    <row r="611" spans="4:6" x14ac:dyDescent="0.25">
      <c r="D611" s="44" t="s">
        <v>104</v>
      </c>
      <c r="E611" s="44" t="s">
        <v>629</v>
      </c>
      <c r="F611" s="44">
        <v>9.94</v>
      </c>
    </row>
    <row r="612" spans="4:6" x14ac:dyDescent="0.25">
      <c r="D612" s="43" t="s">
        <v>110</v>
      </c>
      <c r="E612" s="43" t="s">
        <v>630</v>
      </c>
      <c r="F612" s="43">
        <v>107.42400000000001</v>
      </c>
    </row>
    <row r="613" spans="4:6" x14ac:dyDescent="0.25">
      <c r="D613" s="44" t="s">
        <v>108</v>
      </c>
      <c r="E613" s="44" t="s">
        <v>631</v>
      </c>
      <c r="F613" s="44">
        <v>37.909999999999997</v>
      </c>
    </row>
    <row r="614" spans="4:6" x14ac:dyDescent="0.25">
      <c r="D614" s="43" t="s">
        <v>104</v>
      </c>
      <c r="E614" s="43" t="s">
        <v>246</v>
      </c>
      <c r="F614" s="43">
        <v>88.02</v>
      </c>
    </row>
    <row r="615" spans="4:6" x14ac:dyDescent="0.25">
      <c r="D615" s="44" t="s">
        <v>110</v>
      </c>
      <c r="E615" s="44" t="s">
        <v>632</v>
      </c>
      <c r="F615" s="44">
        <v>8.6899999999999977</v>
      </c>
    </row>
    <row r="616" spans="4:6" x14ac:dyDescent="0.25">
      <c r="D616" s="43" t="s">
        <v>96</v>
      </c>
      <c r="E616" s="43" t="s">
        <v>633</v>
      </c>
      <c r="F616" s="43">
        <v>301.95999999999998</v>
      </c>
    </row>
    <row r="617" spans="4:6" x14ac:dyDescent="0.25">
      <c r="D617" s="44" t="s">
        <v>112</v>
      </c>
      <c r="E617" s="44" t="s">
        <v>634</v>
      </c>
      <c r="F617" s="44">
        <v>555.21</v>
      </c>
    </row>
    <row r="618" spans="4:6" x14ac:dyDescent="0.25">
      <c r="D618" s="43" t="s">
        <v>102</v>
      </c>
      <c r="E618" s="43" t="s">
        <v>635</v>
      </c>
      <c r="F618" s="43">
        <v>523.48</v>
      </c>
    </row>
    <row r="619" spans="4:6" x14ac:dyDescent="0.25">
      <c r="D619" s="44" t="s">
        <v>106</v>
      </c>
      <c r="E619" s="44" t="s">
        <v>137</v>
      </c>
      <c r="F619" s="44">
        <v>161.82</v>
      </c>
    </row>
    <row r="620" spans="4:6" x14ac:dyDescent="0.25">
      <c r="D620" s="43" t="s">
        <v>104</v>
      </c>
      <c r="E620" s="43" t="s">
        <v>636</v>
      </c>
      <c r="F620" s="43">
        <v>35.56</v>
      </c>
    </row>
    <row r="621" spans="4:6" x14ac:dyDescent="0.25">
      <c r="D621" s="44" t="s">
        <v>112</v>
      </c>
      <c r="E621" s="44" t="s">
        <v>637</v>
      </c>
      <c r="F621" s="44">
        <v>97.16</v>
      </c>
    </row>
    <row r="622" spans="4:6" x14ac:dyDescent="0.25">
      <c r="D622" s="43" t="s">
        <v>110</v>
      </c>
      <c r="E622" s="43" t="s">
        <v>638</v>
      </c>
      <c r="F622" s="43">
        <v>15.24</v>
      </c>
    </row>
    <row r="623" spans="4:6" x14ac:dyDescent="0.25">
      <c r="D623" s="44" t="s">
        <v>116</v>
      </c>
      <c r="E623" s="44" t="s">
        <v>357</v>
      </c>
      <c r="F623" s="44">
        <v>13.23</v>
      </c>
    </row>
    <row r="624" spans="4:6" x14ac:dyDescent="0.25">
      <c r="D624" s="43" t="s">
        <v>102</v>
      </c>
      <c r="E624" s="43" t="s">
        <v>639</v>
      </c>
      <c r="F624" s="43">
        <v>243.38400000000001</v>
      </c>
    </row>
    <row r="625" spans="4:6" x14ac:dyDescent="0.25">
      <c r="D625" s="44" t="s">
        <v>130</v>
      </c>
      <c r="E625" s="44" t="s">
        <v>640</v>
      </c>
      <c r="F625" s="44">
        <v>119.80000000000001</v>
      </c>
    </row>
    <row r="626" spans="4:6" x14ac:dyDescent="0.25">
      <c r="D626" s="43" t="s">
        <v>108</v>
      </c>
      <c r="E626" s="43" t="s">
        <v>641</v>
      </c>
      <c r="F626" s="43">
        <v>300.76799999999997</v>
      </c>
    </row>
    <row r="627" spans="4:6" x14ac:dyDescent="0.25">
      <c r="D627" s="44" t="s">
        <v>130</v>
      </c>
      <c r="E627" s="44" t="s">
        <v>642</v>
      </c>
      <c r="F627" s="44">
        <v>17.880000000000003</v>
      </c>
    </row>
    <row r="628" spans="4:6" x14ac:dyDescent="0.25">
      <c r="D628" s="43" t="s">
        <v>98</v>
      </c>
      <c r="E628" s="43" t="s">
        <v>610</v>
      </c>
      <c r="F628" s="43">
        <v>235.94400000000002</v>
      </c>
    </row>
    <row r="629" spans="4:6" x14ac:dyDescent="0.25">
      <c r="D629" s="44" t="s">
        <v>96</v>
      </c>
      <c r="E629" s="44" t="s">
        <v>643</v>
      </c>
      <c r="F629" s="44">
        <v>392.93999999999994</v>
      </c>
    </row>
    <row r="630" spans="4:6" x14ac:dyDescent="0.25">
      <c r="D630" s="43" t="s">
        <v>110</v>
      </c>
      <c r="E630" s="43" t="s">
        <v>644</v>
      </c>
      <c r="F630" s="43">
        <v>18.882000000000005</v>
      </c>
    </row>
    <row r="631" spans="4:6" x14ac:dyDescent="0.25">
      <c r="D631" s="44" t="s">
        <v>112</v>
      </c>
      <c r="E631" s="44" t="s">
        <v>645</v>
      </c>
      <c r="F631" s="44">
        <v>122.328</v>
      </c>
    </row>
    <row r="632" spans="4:6" x14ac:dyDescent="0.25">
      <c r="D632" s="43" t="s">
        <v>104</v>
      </c>
      <c r="E632" s="43" t="s">
        <v>328</v>
      </c>
      <c r="F632" s="43">
        <v>1049.2</v>
      </c>
    </row>
    <row r="633" spans="4:6" x14ac:dyDescent="0.25">
      <c r="D633" s="44" t="s">
        <v>110</v>
      </c>
      <c r="E633" s="44" t="s">
        <v>646</v>
      </c>
      <c r="F633" s="44">
        <v>15.424000000000001</v>
      </c>
    </row>
    <row r="634" spans="4:6" x14ac:dyDescent="0.25">
      <c r="D634" s="43" t="s">
        <v>104</v>
      </c>
      <c r="E634" s="43" t="s">
        <v>647</v>
      </c>
      <c r="F634" s="43">
        <v>18.84</v>
      </c>
    </row>
    <row r="635" spans="4:6" x14ac:dyDescent="0.25">
      <c r="D635" s="44" t="s">
        <v>102</v>
      </c>
      <c r="E635" s="44" t="s">
        <v>648</v>
      </c>
      <c r="F635" s="44">
        <v>330.4</v>
      </c>
    </row>
    <row r="636" spans="4:6" x14ac:dyDescent="0.25">
      <c r="D636" s="43" t="s">
        <v>98</v>
      </c>
      <c r="E636" s="43" t="s">
        <v>649</v>
      </c>
      <c r="F636" s="43">
        <v>26.25</v>
      </c>
    </row>
    <row r="637" spans="4:6" x14ac:dyDescent="0.25">
      <c r="D637" s="44" t="s">
        <v>130</v>
      </c>
      <c r="E637" s="44" t="s">
        <v>565</v>
      </c>
      <c r="F637" s="44">
        <v>132.52000000000001</v>
      </c>
    </row>
    <row r="638" spans="4:6" x14ac:dyDescent="0.25">
      <c r="D638" s="43" t="s">
        <v>116</v>
      </c>
      <c r="E638" s="43" t="s">
        <v>650</v>
      </c>
      <c r="F638" s="43">
        <v>6.48</v>
      </c>
    </row>
    <row r="639" spans="4:6" x14ac:dyDescent="0.25">
      <c r="D639" s="44" t="s">
        <v>112</v>
      </c>
      <c r="E639" s="44" t="s">
        <v>651</v>
      </c>
      <c r="F639" s="44">
        <v>209.3</v>
      </c>
    </row>
    <row r="640" spans="4:6" x14ac:dyDescent="0.25">
      <c r="D640" s="43" t="s">
        <v>158</v>
      </c>
      <c r="E640" s="43" t="s">
        <v>234</v>
      </c>
      <c r="F640" s="43">
        <v>31.560000000000002</v>
      </c>
    </row>
    <row r="641" spans="4:6" x14ac:dyDescent="0.25">
      <c r="D641" s="44" t="s">
        <v>112</v>
      </c>
      <c r="E641" s="44" t="s">
        <v>652</v>
      </c>
      <c r="F641" s="44">
        <v>30.144000000000002</v>
      </c>
    </row>
    <row r="642" spans="4:6" x14ac:dyDescent="0.25">
      <c r="D642" s="43" t="s">
        <v>104</v>
      </c>
      <c r="E642" s="43" t="s">
        <v>653</v>
      </c>
      <c r="F642" s="43">
        <v>14.8</v>
      </c>
    </row>
    <row r="643" spans="4:6" x14ac:dyDescent="0.25">
      <c r="D643" s="44" t="s">
        <v>108</v>
      </c>
      <c r="E643" s="44" t="s">
        <v>279</v>
      </c>
      <c r="F643" s="44">
        <v>302.37599999999998</v>
      </c>
    </row>
    <row r="644" spans="4:6" x14ac:dyDescent="0.25">
      <c r="D644" s="43" t="s">
        <v>130</v>
      </c>
      <c r="E644" s="43" t="s">
        <v>654</v>
      </c>
      <c r="F644" s="43">
        <v>316</v>
      </c>
    </row>
    <row r="645" spans="4:6" x14ac:dyDescent="0.25">
      <c r="D645" s="44" t="s">
        <v>116</v>
      </c>
      <c r="E645" s="44" t="s">
        <v>174</v>
      </c>
      <c r="F645" s="44">
        <v>379.4</v>
      </c>
    </row>
    <row r="646" spans="4:6" x14ac:dyDescent="0.25">
      <c r="D646" s="43" t="s">
        <v>116</v>
      </c>
      <c r="E646" s="43" t="s">
        <v>169</v>
      </c>
      <c r="F646" s="43">
        <v>97.82</v>
      </c>
    </row>
    <row r="647" spans="4:6" x14ac:dyDescent="0.25">
      <c r="D647" s="44" t="s">
        <v>130</v>
      </c>
      <c r="E647" s="44" t="s">
        <v>655</v>
      </c>
      <c r="F647" s="44">
        <v>103.12</v>
      </c>
    </row>
    <row r="648" spans="4:6" x14ac:dyDescent="0.25">
      <c r="D648" s="43" t="s">
        <v>112</v>
      </c>
      <c r="E648" s="43" t="s">
        <v>656</v>
      </c>
      <c r="F648" s="43">
        <v>113.55200000000001</v>
      </c>
    </row>
    <row r="649" spans="4:6" x14ac:dyDescent="0.25">
      <c r="D649" s="44" t="s">
        <v>110</v>
      </c>
      <c r="E649" s="44" t="s">
        <v>657</v>
      </c>
      <c r="F649" s="44">
        <v>3.3180000000000005</v>
      </c>
    </row>
    <row r="650" spans="4:6" x14ac:dyDescent="0.25">
      <c r="D650" s="43" t="s">
        <v>135</v>
      </c>
      <c r="E650" s="43" t="s">
        <v>658</v>
      </c>
      <c r="F650" s="43">
        <v>134.28800000000001</v>
      </c>
    </row>
    <row r="651" spans="4:6" x14ac:dyDescent="0.25">
      <c r="D651" s="44" t="s">
        <v>110</v>
      </c>
      <c r="E651" s="44" t="s">
        <v>175</v>
      </c>
      <c r="F651" s="44">
        <v>2.3079999999999994</v>
      </c>
    </row>
    <row r="652" spans="4:6" x14ac:dyDescent="0.25">
      <c r="D652" s="43" t="s">
        <v>102</v>
      </c>
      <c r="E652" s="43" t="s">
        <v>620</v>
      </c>
      <c r="F652" s="43">
        <v>999.43200000000002</v>
      </c>
    </row>
    <row r="653" spans="4:6" x14ac:dyDescent="0.25">
      <c r="D653" s="44" t="s">
        <v>102</v>
      </c>
      <c r="E653" s="44" t="s">
        <v>659</v>
      </c>
      <c r="F653" s="44">
        <v>724.08</v>
      </c>
    </row>
    <row r="654" spans="4:6" x14ac:dyDescent="0.25">
      <c r="D654" s="43" t="s">
        <v>100</v>
      </c>
      <c r="E654" s="43" t="s">
        <v>220</v>
      </c>
      <c r="F654" s="43">
        <v>918.78499999999985</v>
      </c>
    </row>
    <row r="655" spans="4:6" x14ac:dyDescent="0.25">
      <c r="D655" s="44" t="s">
        <v>110</v>
      </c>
      <c r="E655" s="44" t="s">
        <v>215</v>
      </c>
      <c r="F655" s="44">
        <v>2.7239999999999993</v>
      </c>
    </row>
    <row r="656" spans="4:6" x14ac:dyDescent="0.25">
      <c r="D656" s="43" t="s">
        <v>102</v>
      </c>
      <c r="E656" s="43" t="s">
        <v>304</v>
      </c>
      <c r="F656" s="43">
        <v>459.95</v>
      </c>
    </row>
    <row r="657" spans="4:6" x14ac:dyDescent="0.25">
      <c r="D657" s="44" t="s">
        <v>158</v>
      </c>
      <c r="E657" s="44" t="s">
        <v>216</v>
      </c>
      <c r="F657" s="44">
        <v>10.74</v>
      </c>
    </row>
    <row r="658" spans="4:6" x14ac:dyDescent="0.25">
      <c r="D658" s="43" t="s">
        <v>240</v>
      </c>
      <c r="E658" s="43" t="s">
        <v>660</v>
      </c>
      <c r="F658" s="43">
        <v>23.76</v>
      </c>
    </row>
    <row r="659" spans="4:6" x14ac:dyDescent="0.25">
      <c r="D659" s="44" t="s">
        <v>116</v>
      </c>
      <c r="E659" s="44" t="s">
        <v>140</v>
      </c>
      <c r="F659" s="44">
        <v>85.055999999999997</v>
      </c>
    </row>
    <row r="660" spans="4:6" x14ac:dyDescent="0.25">
      <c r="D660" s="43" t="s">
        <v>108</v>
      </c>
      <c r="E660" s="43" t="s">
        <v>661</v>
      </c>
      <c r="F660" s="43">
        <v>381.57600000000002</v>
      </c>
    </row>
    <row r="661" spans="4:6" x14ac:dyDescent="0.25">
      <c r="D661" s="44" t="s">
        <v>104</v>
      </c>
      <c r="E661" s="44" t="s">
        <v>662</v>
      </c>
      <c r="F661" s="44">
        <v>30.36</v>
      </c>
    </row>
    <row r="662" spans="4:6" x14ac:dyDescent="0.25">
      <c r="D662" s="43" t="s">
        <v>104</v>
      </c>
      <c r="E662" s="43" t="s">
        <v>663</v>
      </c>
      <c r="F662" s="43">
        <v>23.976000000000003</v>
      </c>
    </row>
    <row r="663" spans="4:6" x14ac:dyDescent="0.25">
      <c r="D663" s="44" t="s">
        <v>100</v>
      </c>
      <c r="E663" s="44" t="s">
        <v>664</v>
      </c>
      <c r="F663" s="44">
        <v>108.925</v>
      </c>
    </row>
    <row r="664" spans="4:6" x14ac:dyDescent="0.25">
      <c r="D664" s="43" t="s">
        <v>116</v>
      </c>
      <c r="E664" s="43" t="s">
        <v>665</v>
      </c>
      <c r="F664" s="43">
        <v>36.351999999999997</v>
      </c>
    </row>
    <row r="665" spans="4:6" x14ac:dyDescent="0.25">
      <c r="D665" s="44" t="s">
        <v>106</v>
      </c>
      <c r="E665" s="44" t="s">
        <v>666</v>
      </c>
      <c r="F665" s="44">
        <v>19.559999999999999</v>
      </c>
    </row>
    <row r="666" spans="4:6" x14ac:dyDescent="0.25">
      <c r="D666" s="43" t="s">
        <v>112</v>
      </c>
      <c r="E666" s="43" t="s">
        <v>667</v>
      </c>
      <c r="F666" s="43">
        <v>61.44</v>
      </c>
    </row>
    <row r="667" spans="4:6" x14ac:dyDescent="0.25">
      <c r="D667" s="44" t="s">
        <v>116</v>
      </c>
      <c r="E667" s="44" t="s">
        <v>668</v>
      </c>
      <c r="F667" s="44">
        <v>38.9</v>
      </c>
    </row>
    <row r="668" spans="4:6" x14ac:dyDescent="0.25">
      <c r="D668" s="43" t="s">
        <v>130</v>
      </c>
      <c r="E668" s="43" t="s">
        <v>565</v>
      </c>
      <c r="F668" s="43">
        <v>99.390000000000015</v>
      </c>
    </row>
    <row r="669" spans="4:6" x14ac:dyDescent="0.25">
      <c r="D669" s="44" t="s">
        <v>112</v>
      </c>
      <c r="E669" s="44" t="s">
        <v>669</v>
      </c>
      <c r="F669" s="44">
        <v>2.6879999999999997</v>
      </c>
    </row>
    <row r="670" spans="4:6" x14ac:dyDescent="0.25">
      <c r="D670" s="43" t="s">
        <v>130</v>
      </c>
      <c r="E670" s="43" t="s">
        <v>670</v>
      </c>
      <c r="F670" s="43">
        <v>27.816000000000003</v>
      </c>
    </row>
    <row r="671" spans="4:6" x14ac:dyDescent="0.25">
      <c r="D671" s="44" t="s">
        <v>104</v>
      </c>
      <c r="E671" s="44" t="s">
        <v>671</v>
      </c>
      <c r="F671" s="44">
        <v>82.524000000000001</v>
      </c>
    </row>
    <row r="672" spans="4:6" x14ac:dyDescent="0.25">
      <c r="D672" s="43" t="s">
        <v>110</v>
      </c>
      <c r="E672" s="43" t="s">
        <v>672</v>
      </c>
      <c r="F672" s="43">
        <v>182.99399999999997</v>
      </c>
    </row>
    <row r="673" spans="4:6" x14ac:dyDescent="0.25">
      <c r="D673" s="44" t="s">
        <v>110</v>
      </c>
      <c r="E673" s="44" t="s">
        <v>673</v>
      </c>
      <c r="F673" s="44">
        <v>14.352000000000002</v>
      </c>
    </row>
    <row r="674" spans="4:6" x14ac:dyDescent="0.25">
      <c r="D674" s="43" t="s">
        <v>102</v>
      </c>
      <c r="E674" s="43" t="s">
        <v>674</v>
      </c>
      <c r="F674" s="43">
        <v>64.959999999999994</v>
      </c>
    </row>
    <row r="675" spans="4:6" x14ac:dyDescent="0.25">
      <c r="D675" s="44" t="s">
        <v>102</v>
      </c>
      <c r="E675" s="44" t="s">
        <v>559</v>
      </c>
      <c r="F675" s="44">
        <v>68.599999999999994</v>
      </c>
    </row>
    <row r="676" spans="4:6" x14ac:dyDescent="0.25">
      <c r="D676" s="43" t="s">
        <v>263</v>
      </c>
      <c r="E676" s="43" t="s">
        <v>675</v>
      </c>
      <c r="F676" s="43">
        <v>7999.98</v>
      </c>
    </row>
    <row r="677" spans="4:6" x14ac:dyDescent="0.25">
      <c r="D677" s="44" t="s">
        <v>112</v>
      </c>
      <c r="E677" s="44" t="s">
        <v>651</v>
      </c>
      <c r="F677" s="44">
        <v>167.44000000000003</v>
      </c>
    </row>
    <row r="678" spans="4:6" x14ac:dyDescent="0.25">
      <c r="D678" s="43" t="s">
        <v>130</v>
      </c>
      <c r="E678" s="43" t="s">
        <v>438</v>
      </c>
      <c r="F678" s="43">
        <v>479.97</v>
      </c>
    </row>
    <row r="679" spans="4:6" x14ac:dyDescent="0.25">
      <c r="D679" s="44" t="s">
        <v>98</v>
      </c>
      <c r="E679" s="44" t="s">
        <v>676</v>
      </c>
      <c r="F679" s="44">
        <v>14.62</v>
      </c>
    </row>
    <row r="680" spans="4:6" x14ac:dyDescent="0.25">
      <c r="D680" s="43" t="s">
        <v>116</v>
      </c>
      <c r="E680" s="43" t="s">
        <v>195</v>
      </c>
      <c r="F680" s="43">
        <v>19.440000000000001</v>
      </c>
    </row>
    <row r="681" spans="4:6" x14ac:dyDescent="0.25">
      <c r="D681" s="44" t="s">
        <v>94</v>
      </c>
      <c r="E681" s="44" t="s">
        <v>677</v>
      </c>
      <c r="F681" s="44">
        <v>191.98400000000001</v>
      </c>
    </row>
    <row r="682" spans="4:6" x14ac:dyDescent="0.25">
      <c r="D682" s="43" t="s">
        <v>104</v>
      </c>
      <c r="E682" s="43" t="s">
        <v>678</v>
      </c>
      <c r="F682" s="43">
        <v>104.01</v>
      </c>
    </row>
    <row r="683" spans="4:6" x14ac:dyDescent="0.25">
      <c r="D683" s="44" t="s">
        <v>108</v>
      </c>
      <c r="E683" s="44" t="s">
        <v>115</v>
      </c>
      <c r="F683" s="44">
        <v>284.82</v>
      </c>
    </row>
    <row r="684" spans="4:6" x14ac:dyDescent="0.25">
      <c r="D684" s="43" t="s">
        <v>102</v>
      </c>
      <c r="E684" s="43" t="s">
        <v>679</v>
      </c>
      <c r="F684" s="43">
        <v>36.839999999999996</v>
      </c>
    </row>
    <row r="685" spans="4:6" x14ac:dyDescent="0.25">
      <c r="D685" s="44" t="s">
        <v>130</v>
      </c>
      <c r="E685" s="44" t="s">
        <v>680</v>
      </c>
      <c r="F685" s="44">
        <v>166.24</v>
      </c>
    </row>
    <row r="686" spans="4:6" x14ac:dyDescent="0.25">
      <c r="D686" s="43" t="s">
        <v>116</v>
      </c>
      <c r="E686" s="43" t="s">
        <v>681</v>
      </c>
      <c r="F686" s="43">
        <v>33.4</v>
      </c>
    </row>
    <row r="687" spans="4:6" x14ac:dyDescent="0.25">
      <c r="D687" s="44" t="s">
        <v>106</v>
      </c>
      <c r="E687" s="44" t="s">
        <v>397</v>
      </c>
      <c r="F687" s="44">
        <v>198.27200000000002</v>
      </c>
    </row>
    <row r="688" spans="4:6" x14ac:dyDescent="0.25">
      <c r="D688" s="43" t="s">
        <v>98</v>
      </c>
      <c r="E688" s="43" t="s">
        <v>682</v>
      </c>
      <c r="F688" s="43">
        <v>47.360000000000007</v>
      </c>
    </row>
    <row r="689" spans="4:6" x14ac:dyDescent="0.25">
      <c r="D689" s="44" t="s">
        <v>135</v>
      </c>
      <c r="E689" s="44" t="s">
        <v>188</v>
      </c>
      <c r="F689" s="44">
        <v>200.98400000000004</v>
      </c>
    </row>
    <row r="690" spans="4:6" x14ac:dyDescent="0.25">
      <c r="D690" s="43" t="s">
        <v>98</v>
      </c>
      <c r="E690" s="43" t="s">
        <v>683</v>
      </c>
      <c r="F690" s="43">
        <v>97.696000000000012</v>
      </c>
    </row>
    <row r="691" spans="4:6" x14ac:dyDescent="0.25">
      <c r="D691" s="44" t="s">
        <v>110</v>
      </c>
      <c r="E691" s="44" t="s">
        <v>684</v>
      </c>
      <c r="F691" s="44">
        <v>18.588000000000005</v>
      </c>
    </row>
    <row r="692" spans="4:6" x14ac:dyDescent="0.25">
      <c r="D692" s="43" t="s">
        <v>110</v>
      </c>
      <c r="E692" s="43" t="s">
        <v>410</v>
      </c>
      <c r="F692" s="43">
        <v>4.8960000000000008</v>
      </c>
    </row>
    <row r="693" spans="4:6" x14ac:dyDescent="0.25">
      <c r="D693" s="44" t="s">
        <v>104</v>
      </c>
      <c r="E693" s="44" t="s">
        <v>299</v>
      </c>
      <c r="F693" s="44">
        <v>15.072000000000003</v>
      </c>
    </row>
    <row r="694" spans="4:6" x14ac:dyDescent="0.25">
      <c r="D694" s="43" t="s">
        <v>104</v>
      </c>
      <c r="E694" s="43" t="s">
        <v>685</v>
      </c>
      <c r="F694" s="43">
        <v>209.88</v>
      </c>
    </row>
    <row r="695" spans="4:6" x14ac:dyDescent="0.25">
      <c r="D695" s="44" t="s">
        <v>100</v>
      </c>
      <c r="E695" s="44" t="s">
        <v>686</v>
      </c>
      <c r="F695" s="44">
        <v>369.91200000000003</v>
      </c>
    </row>
    <row r="696" spans="4:6" x14ac:dyDescent="0.25">
      <c r="D696" s="43" t="s">
        <v>116</v>
      </c>
      <c r="E696" s="43" t="s">
        <v>687</v>
      </c>
      <c r="F696" s="43">
        <v>10.368000000000002</v>
      </c>
    </row>
    <row r="697" spans="4:6" x14ac:dyDescent="0.25">
      <c r="D697" s="44" t="s">
        <v>112</v>
      </c>
      <c r="E697" s="44" t="s">
        <v>688</v>
      </c>
      <c r="F697" s="44">
        <v>166.84</v>
      </c>
    </row>
    <row r="698" spans="4:6" x14ac:dyDescent="0.25">
      <c r="D698" s="43" t="s">
        <v>130</v>
      </c>
      <c r="E698" s="43" t="s">
        <v>555</v>
      </c>
      <c r="F698" s="43">
        <v>15.216000000000001</v>
      </c>
    </row>
    <row r="699" spans="4:6" x14ac:dyDescent="0.25">
      <c r="D699" s="44" t="s">
        <v>130</v>
      </c>
      <c r="E699" s="44" t="s">
        <v>354</v>
      </c>
      <c r="F699" s="44">
        <v>119.96</v>
      </c>
    </row>
    <row r="700" spans="4:6" x14ac:dyDescent="0.25">
      <c r="D700" s="43" t="s">
        <v>94</v>
      </c>
      <c r="E700" s="43" t="s">
        <v>689</v>
      </c>
      <c r="F700" s="43">
        <v>883.92</v>
      </c>
    </row>
    <row r="701" spans="4:6" x14ac:dyDescent="0.25">
      <c r="D701" s="44" t="s">
        <v>110</v>
      </c>
      <c r="E701" s="44" t="s">
        <v>451</v>
      </c>
      <c r="F701" s="44">
        <v>46.72</v>
      </c>
    </row>
    <row r="702" spans="4:6" x14ac:dyDescent="0.25">
      <c r="D702" s="43" t="s">
        <v>116</v>
      </c>
      <c r="E702" s="43" t="s">
        <v>519</v>
      </c>
      <c r="F702" s="43">
        <v>55.48</v>
      </c>
    </row>
    <row r="703" spans="4:6" x14ac:dyDescent="0.25">
      <c r="D703" s="44" t="s">
        <v>135</v>
      </c>
      <c r="E703" s="44" t="s">
        <v>690</v>
      </c>
      <c r="F703" s="44">
        <v>24.448</v>
      </c>
    </row>
    <row r="704" spans="4:6" x14ac:dyDescent="0.25">
      <c r="D704" s="43" t="s">
        <v>112</v>
      </c>
      <c r="E704" s="43" t="s">
        <v>691</v>
      </c>
      <c r="F704" s="43">
        <v>281.34000000000003</v>
      </c>
    </row>
    <row r="705" spans="4:6" x14ac:dyDescent="0.25">
      <c r="D705" s="44" t="s">
        <v>108</v>
      </c>
      <c r="E705" s="44" t="s">
        <v>452</v>
      </c>
      <c r="F705" s="44">
        <v>307.98</v>
      </c>
    </row>
    <row r="706" spans="4:6" x14ac:dyDescent="0.25">
      <c r="D706" s="43" t="s">
        <v>130</v>
      </c>
      <c r="E706" s="43" t="s">
        <v>692</v>
      </c>
      <c r="F706" s="43">
        <v>299.96999999999997</v>
      </c>
    </row>
    <row r="707" spans="4:6" x14ac:dyDescent="0.25">
      <c r="D707" s="44" t="s">
        <v>110</v>
      </c>
      <c r="E707" s="44" t="s">
        <v>693</v>
      </c>
      <c r="F707" s="44">
        <v>19.920000000000002</v>
      </c>
    </row>
    <row r="708" spans="4:6" x14ac:dyDescent="0.25">
      <c r="D708" s="43" t="s">
        <v>104</v>
      </c>
      <c r="E708" s="43" t="s">
        <v>629</v>
      </c>
      <c r="F708" s="43">
        <v>9.94</v>
      </c>
    </row>
    <row r="709" spans="4:6" x14ac:dyDescent="0.25">
      <c r="D709" s="44" t="s">
        <v>104</v>
      </c>
      <c r="E709" s="44" t="s">
        <v>694</v>
      </c>
      <c r="F709" s="44">
        <v>103.05599999999998</v>
      </c>
    </row>
    <row r="710" spans="4:6" x14ac:dyDescent="0.25">
      <c r="D710" s="43" t="s">
        <v>110</v>
      </c>
      <c r="E710" s="43" t="s">
        <v>546</v>
      </c>
      <c r="F710" s="43">
        <v>59.808000000000007</v>
      </c>
    </row>
    <row r="711" spans="4:6" x14ac:dyDescent="0.25">
      <c r="D711" s="44" t="s">
        <v>104</v>
      </c>
      <c r="E711" s="44" t="s">
        <v>495</v>
      </c>
      <c r="F711" s="44">
        <v>73.320000000000007</v>
      </c>
    </row>
    <row r="712" spans="4:6" x14ac:dyDescent="0.25">
      <c r="D712" s="43" t="s">
        <v>116</v>
      </c>
      <c r="E712" s="43" t="s">
        <v>695</v>
      </c>
      <c r="F712" s="43">
        <v>146.82</v>
      </c>
    </row>
    <row r="713" spans="4:6" x14ac:dyDescent="0.25">
      <c r="D713" s="44" t="s">
        <v>100</v>
      </c>
      <c r="E713" s="44" t="s">
        <v>696</v>
      </c>
      <c r="F713" s="44">
        <v>1652.94</v>
      </c>
    </row>
    <row r="714" spans="4:6" x14ac:dyDescent="0.25">
      <c r="D714" s="43" t="s">
        <v>102</v>
      </c>
      <c r="E714" s="43" t="s">
        <v>697</v>
      </c>
      <c r="F714" s="43">
        <v>296.37</v>
      </c>
    </row>
    <row r="715" spans="4:6" x14ac:dyDescent="0.25">
      <c r="D715" s="44" t="s">
        <v>104</v>
      </c>
      <c r="E715" s="44" t="s">
        <v>698</v>
      </c>
      <c r="F715" s="44">
        <v>129.91999999999999</v>
      </c>
    </row>
    <row r="716" spans="4:6" x14ac:dyDescent="0.25">
      <c r="D716" s="43" t="s">
        <v>240</v>
      </c>
      <c r="E716" s="43" t="s">
        <v>699</v>
      </c>
      <c r="F716" s="43">
        <v>45.584000000000003</v>
      </c>
    </row>
    <row r="717" spans="4:6" x14ac:dyDescent="0.25">
      <c r="D717" s="44" t="s">
        <v>135</v>
      </c>
      <c r="E717" s="44" t="s">
        <v>700</v>
      </c>
      <c r="F717" s="44">
        <v>17.568000000000001</v>
      </c>
    </row>
    <row r="718" spans="4:6" x14ac:dyDescent="0.25">
      <c r="D718" s="43" t="s">
        <v>108</v>
      </c>
      <c r="E718" s="43" t="s">
        <v>701</v>
      </c>
      <c r="F718" s="43">
        <v>55.991999999999997</v>
      </c>
    </row>
    <row r="719" spans="4:6" x14ac:dyDescent="0.25">
      <c r="D719" s="44" t="s">
        <v>116</v>
      </c>
      <c r="E719" s="44" t="s">
        <v>702</v>
      </c>
      <c r="F719" s="44">
        <v>182.72</v>
      </c>
    </row>
    <row r="720" spans="4:6" x14ac:dyDescent="0.25">
      <c r="D720" s="43" t="s">
        <v>100</v>
      </c>
      <c r="E720" s="43" t="s">
        <v>703</v>
      </c>
      <c r="F720" s="43">
        <v>400.03199999999998</v>
      </c>
    </row>
    <row r="721" spans="4:6" x14ac:dyDescent="0.25">
      <c r="D721" s="44" t="s">
        <v>102</v>
      </c>
      <c r="E721" s="44" t="s">
        <v>704</v>
      </c>
      <c r="F721" s="44">
        <v>33.630000000000003</v>
      </c>
    </row>
    <row r="722" spans="4:6" x14ac:dyDescent="0.25">
      <c r="D722" s="43" t="s">
        <v>96</v>
      </c>
      <c r="E722" s="43" t="s">
        <v>336</v>
      </c>
      <c r="F722" s="43">
        <v>542.64599999999996</v>
      </c>
    </row>
    <row r="723" spans="4:6" x14ac:dyDescent="0.25">
      <c r="D723" s="44" t="s">
        <v>98</v>
      </c>
      <c r="E723" s="44" t="s">
        <v>500</v>
      </c>
      <c r="F723" s="44">
        <v>6.3</v>
      </c>
    </row>
    <row r="724" spans="4:6" x14ac:dyDescent="0.25">
      <c r="D724" s="43" t="s">
        <v>102</v>
      </c>
      <c r="E724" s="43" t="s">
        <v>562</v>
      </c>
      <c r="F724" s="43">
        <v>242.94</v>
      </c>
    </row>
    <row r="725" spans="4:6" x14ac:dyDescent="0.25">
      <c r="D725" s="44" t="s">
        <v>130</v>
      </c>
      <c r="E725" s="44" t="s">
        <v>705</v>
      </c>
      <c r="F725" s="44">
        <v>179.97</v>
      </c>
    </row>
    <row r="726" spans="4:6" x14ac:dyDescent="0.25">
      <c r="D726" s="43" t="s">
        <v>110</v>
      </c>
      <c r="E726" s="43" t="s">
        <v>454</v>
      </c>
      <c r="F726" s="43">
        <v>99.695999999999998</v>
      </c>
    </row>
    <row r="727" spans="4:6" x14ac:dyDescent="0.25">
      <c r="D727" s="44" t="s">
        <v>110</v>
      </c>
      <c r="E727" s="44" t="s">
        <v>150</v>
      </c>
      <c r="F727" s="44">
        <v>27.936000000000003</v>
      </c>
    </row>
    <row r="728" spans="4:6" x14ac:dyDescent="0.25">
      <c r="D728" s="43" t="s">
        <v>94</v>
      </c>
      <c r="E728" s="43" t="s">
        <v>706</v>
      </c>
      <c r="F728" s="43">
        <v>84.98</v>
      </c>
    </row>
    <row r="729" spans="4:6" x14ac:dyDescent="0.25">
      <c r="D729" s="44" t="s">
        <v>110</v>
      </c>
      <c r="E729" s="44" t="s">
        <v>707</v>
      </c>
      <c r="F729" s="44">
        <v>18.72</v>
      </c>
    </row>
    <row r="730" spans="4:6" x14ac:dyDescent="0.25">
      <c r="D730" s="43" t="s">
        <v>130</v>
      </c>
      <c r="E730" s="43" t="s">
        <v>708</v>
      </c>
      <c r="F730" s="43">
        <v>49.98</v>
      </c>
    </row>
    <row r="731" spans="4:6" x14ac:dyDescent="0.25">
      <c r="D731" s="44" t="s">
        <v>98</v>
      </c>
      <c r="E731" s="44" t="s">
        <v>709</v>
      </c>
      <c r="F731" s="44">
        <v>11.784000000000001</v>
      </c>
    </row>
    <row r="732" spans="4:6" x14ac:dyDescent="0.25">
      <c r="D732" s="43" t="s">
        <v>102</v>
      </c>
      <c r="E732" s="43" t="s">
        <v>520</v>
      </c>
      <c r="F732" s="43">
        <v>272.73599999999999</v>
      </c>
    </row>
    <row r="733" spans="4:6" x14ac:dyDescent="0.25">
      <c r="D733" s="44" t="s">
        <v>110</v>
      </c>
      <c r="E733" s="44" t="s">
        <v>710</v>
      </c>
      <c r="F733" s="44">
        <v>3.5399999999999991</v>
      </c>
    </row>
    <row r="734" spans="4:6" x14ac:dyDescent="0.25">
      <c r="D734" s="43" t="s">
        <v>240</v>
      </c>
      <c r="E734" s="43" t="s">
        <v>607</v>
      </c>
      <c r="F734" s="43">
        <v>51.52000000000001</v>
      </c>
    </row>
    <row r="735" spans="4:6" x14ac:dyDescent="0.25">
      <c r="D735" s="44" t="s">
        <v>116</v>
      </c>
      <c r="E735" s="44" t="s">
        <v>357</v>
      </c>
      <c r="F735" s="44">
        <v>3.5280000000000005</v>
      </c>
    </row>
    <row r="736" spans="4:6" x14ac:dyDescent="0.25">
      <c r="D736" s="43" t="s">
        <v>116</v>
      </c>
      <c r="E736" s="43" t="s">
        <v>711</v>
      </c>
      <c r="F736" s="43">
        <v>4.6240000000000006</v>
      </c>
    </row>
    <row r="737" spans="4:6" x14ac:dyDescent="0.25">
      <c r="D737" s="44" t="s">
        <v>240</v>
      </c>
      <c r="E737" s="44" t="s">
        <v>712</v>
      </c>
      <c r="F737" s="44">
        <v>55.167999999999999</v>
      </c>
    </row>
    <row r="738" spans="4:6" x14ac:dyDescent="0.25">
      <c r="D738" s="43" t="s">
        <v>100</v>
      </c>
      <c r="E738" s="43" t="s">
        <v>331</v>
      </c>
      <c r="F738" s="43">
        <v>567.12</v>
      </c>
    </row>
    <row r="739" spans="4:6" x14ac:dyDescent="0.25">
      <c r="D739" s="44" t="s">
        <v>102</v>
      </c>
      <c r="E739" s="44" t="s">
        <v>537</v>
      </c>
      <c r="F739" s="44">
        <v>359.32</v>
      </c>
    </row>
    <row r="740" spans="4:6" x14ac:dyDescent="0.25">
      <c r="D740" s="43" t="s">
        <v>108</v>
      </c>
      <c r="E740" s="43" t="s">
        <v>713</v>
      </c>
      <c r="F740" s="43">
        <v>11.992000000000001</v>
      </c>
    </row>
    <row r="741" spans="4:6" x14ac:dyDescent="0.25">
      <c r="D741" s="44" t="s">
        <v>110</v>
      </c>
      <c r="E741" s="44" t="s">
        <v>714</v>
      </c>
      <c r="F741" s="44">
        <v>58.050000000000004</v>
      </c>
    </row>
    <row r="742" spans="4:6" x14ac:dyDescent="0.25">
      <c r="D742" s="43" t="s">
        <v>104</v>
      </c>
      <c r="E742" s="43" t="s">
        <v>715</v>
      </c>
      <c r="F742" s="43">
        <v>157.74</v>
      </c>
    </row>
    <row r="743" spans="4:6" x14ac:dyDescent="0.25">
      <c r="D743" s="44" t="s">
        <v>106</v>
      </c>
      <c r="E743" s="44" t="s">
        <v>463</v>
      </c>
      <c r="F743" s="44">
        <v>56.980000000000004</v>
      </c>
    </row>
    <row r="744" spans="4:6" x14ac:dyDescent="0.25">
      <c r="D744" s="43" t="s">
        <v>110</v>
      </c>
      <c r="E744" s="43" t="s">
        <v>716</v>
      </c>
      <c r="F744" s="43">
        <v>2.88</v>
      </c>
    </row>
    <row r="745" spans="4:6" x14ac:dyDescent="0.25">
      <c r="D745" s="44" t="s">
        <v>412</v>
      </c>
      <c r="E745" s="44" t="s">
        <v>717</v>
      </c>
      <c r="F745" s="44">
        <v>1199.9760000000001</v>
      </c>
    </row>
    <row r="746" spans="4:6" x14ac:dyDescent="0.25">
      <c r="D746" s="43" t="s">
        <v>104</v>
      </c>
      <c r="E746" s="43" t="s">
        <v>663</v>
      </c>
      <c r="F746" s="43">
        <v>79.92</v>
      </c>
    </row>
    <row r="747" spans="4:6" x14ac:dyDescent="0.25">
      <c r="D747" s="44" t="s">
        <v>100</v>
      </c>
      <c r="E747" s="44" t="s">
        <v>718</v>
      </c>
      <c r="F747" s="44">
        <v>383.43799999999999</v>
      </c>
    </row>
    <row r="748" spans="4:6" x14ac:dyDescent="0.25">
      <c r="D748" s="43" t="s">
        <v>102</v>
      </c>
      <c r="E748" s="43" t="s">
        <v>679</v>
      </c>
      <c r="F748" s="43">
        <v>24.56</v>
      </c>
    </row>
    <row r="749" spans="4:6" x14ac:dyDescent="0.25">
      <c r="D749" s="44" t="s">
        <v>130</v>
      </c>
      <c r="E749" s="44" t="s">
        <v>640</v>
      </c>
      <c r="F749" s="44">
        <v>119.8</v>
      </c>
    </row>
    <row r="750" spans="4:6" x14ac:dyDescent="0.25">
      <c r="D750" s="43" t="s">
        <v>110</v>
      </c>
      <c r="E750" s="43" t="s">
        <v>622</v>
      </c>
      <c r="F750" s="43">
        <v>13.128</v>
      </c>
    </row>
    <row r="751" spans="4:6" x14ac:dyDescent="0.25">
      <c r="D751" s="44" t="s">
        <v>116</v>
      </c>
      <c r="E751" s="44" t="s">
        <v>665</v>
      </c>
      <c r="F751" s="44">
        <v>22.72</v>
      </c>
    </row>
    <row r="752" spans="4:6" x14ac:dyDescent="0.25">
      <c r="D752" s="43" t="s">
        <v>116</v>
      </c>
      <c r="E752" s="43" t="s">
        <v>592</v>
      </c>
      <c r="F752" s="43">
        <v>58.320000000000007</v>
      </c>
    </row>
    <row r="753" spans="4:6" x14ac:dyDescent="0.25">
      <c r="D753" s="44" t="s">
        <v>98</v>
      </c>
      <c r="E753" s="44" t="s">
        <v>719</v>
      </c>
      <c r="F753" s="44">
        <v>12.39</v>
      </c>
    </row>
    <row r="754" spans="4:6" x14ac:dyDescent="0.25">
      <c r="D754" s="43" t="s">
        <v>108</v>
      </c>
      <c r="E754" s="43" t="s">
        <v>268</v>
      </c>
      <c r="F754" s="43">
        <v>107.982</v>
      </c>
    </row>
    <row r="755" spans="4:6" x14ac:dyDescent="0.25">
      <c r="D755" s="44" t="s">
        <v>135</v>
      </c>
      <c r="E755" s="44" t="s">
        <v>260</v>
      </c>
      <c r="F755" s="44">
        <v>11.36</v>
      </c>
    </row>
    <row r="756" spans="4:6" x14ac:dyDescent="0.25">
      <c r="D756" s="43" t="s">
        <v>135</v>
      </c>
      <c r="E756" s="43" t="s">
        <v>720</v>
      </c>
      <c r="F756" s="43">
        <v>50.94</v>
      </c>
    </row>
    <row r="757" spans="4:6" x14ac:dyDescent="0.25">
      <c r="D757" s="44" t="s">
        <v>130</v>
      </c>
      <c r="E757" s="44" t="s">
        <v>721</v>
      </c>
      <c r="F757" s="44">
        <v>646.74</v>
      </c>
    </row>
    <row r="758" spans="4:6" x14ac:dyDescent="0.25">
      <c r="D758" s="43" t="s">
        <v>110</v>
      </c>
      <c r="E758" s="43" t="s">
        <v>722</v>
      </c>
      <c r="F758" s="43">
        <v>5.64</v>
      </c>
    </row>
    <row r="759" spans="4:6" x14ac:dyDescent="0.25">
      <c r="D759" s="44" t="s">
        <v>102</v>
      </c>
      <c r="E759" s="44" t="s">
        <v>723</v>
      </c>
      <c r="F759" s="44">
        <v>572.58000000000004</v>
      </c>
    </row>
    <row r="760" spans="4:6" x14ac:dyDescent="0.25">
      <c r="D760" s="43" t="s">
        <v>104</v>
      </c>
      <c r="E760" s="43" t="s">
        <v>724</v>
      </c>
      <c r="F760" s="43">
        <v>310.88000000000005</v>
      </c>
    </row>
    <row r="761" spans="4:6" x14ac:dyDescent="0.25">
      <c r="D761" s="44" t="s">
        <v>96</v>
      </c>
      <c r="E761" s="44" t="s">
        <v>725</v>
      </c>
      <c r="F761" s="44">
        <v>641.96</v>
      </c>
    </row>
    <row r="762" spans="4:6" x14ac:dyDescent="0.25">
      <c r="D762" s="43" t="s">
        <v>110</v>
      </c>
      <c r="E762" s="43" t="s">
        <v>726</v>
      </c>
      <c r="F762" s="43">
        <v>18.28</v>
      </c>
    </row>
    <row r="763" spans="4:6" x14ac:dyDescent="0.25">
      <c r="D763" s="44" t="s">
        <v>108</v>
      </c>
      <c r="E763" s="44" t="s">
        <v>408</v>
      </c>
      <c r="F763" s="44">
        <v>207</v>
      </c>
    </row>
    <row r="764" spans="4:6" x14ac:dyDescent="0.25">
      <c r="D764" s="43" t="s">
        <v>110</v>
      </c>
      <c r="E764" s="43" t="s">
        <v>727</v>
      </c>
      <c r="F764" s="43">
        <v>32.35</v>
      </c>
    </row>
    <row r="765" spans="4:6" x14ac:dyDescent="0.25">
      <c r="D765" s="44" t="s">
        <v>110</v>
      </c>
      <c r="E765" s="44" t="s">
        <v>111</v>
      </c>
      <c r="F765" s="44">
        <v>7.71</v>
      </c>
    </row>
    <row r="766" spans="4:6" x14ac:dyDescent="0.25">
      <c r="D766" s="43" t="s">
        <v>106</v>
      </c>
      <c r="E766" s="43" t="s">
        <v>728</v>
      </c>
      <c r="F766" s="43">
        <v>40.299999999999997</v>
      </c>
    </row>
    <row r="767" spans="4:6" x14ac:dyDescent="0.25">
      <c r="D767" s="44" t="s">
        <v>104</v>
      </c>
      <c r="E767" s="44" t="s">
        <v>729</v>
      </c>
      <c r="F767" s="44">
        <v>34.580000000000005</v>
      </c>
    </row>
    <row r="768" spans="4:6" x14ac:dyDescent="0.25">
      <c r="D768" s="43" t="s">
        <v>106</v>
      </c>
      <c r="E768" s="43" t="s">
        <v>730</v>
      </c>
      <c r="F768" s="43">
        <v>32.76</v>
      </c>
    </row>
    <row r="769" spans="4:6" x14ac:dyDescent="0.25">
      <c r="D769" s="44" t="s">
        <v>96</v>
      </c>
      <c r="E769" s="44" t="s">
        <v>731</v>
      </c>
      <c r="F769" s="44">
        <v>544.00800000000004</v>
      </c>
    </row>
    <row r="770" spans="4:6" x14ac:dyDescent="0.25">
      <c r="D770" s="43" t="s">
        <v>116</v>
      </c>
      <c r="E770" s="43" t="s">
        <v>473</v>
      </c>
      <c r="F770" s="43">
        <v>59.94</v>
      </c>
    </row>
    <row r="771" spans="4:6" x14ac:dyDescent="0.25">
      <c r="D771" s="44" t="s">
        <v>116</v>
      </c>
      <c r="E771" s="44" t="s">
        <v>462</v>
      </c>
      <c r="F771" s="44">
        <v>23.92</v>
      </c>
    </row>
    <row r="772" spans="4:6" x14ac:dyDescent="0.25">
      <c r="D772" s="43" t="s">
        <v>116</v>
      </c>
      <c r="E772" s="43" t="s">
        <v>732</v>
      </c>
      <c r="F772" s="43">
        <v>4.28</v>
      </c>
    </row>
    <row r="773" spans="4:6" x14ac:dyDescent="0.25">
      <c r="D773" s="44" t="s">
        <v>110</v>
      </c>
      <c r="E773" s="44" t="s">
        <v>513</v>
      </c>
      <c r="F773" s="44">
        <v>32.07</v>
      </c>
    </row>
    <row r="774" spans="4:6" x14ac:dyDescent="0.25">
      <c r="D774" s="43" t="s">
        <v>130</v>
      </c>
      <c r="E774" s="43" t="s">
        <v>152</v>
      </c>
      <c r="F774" s="43">
        <v>24</v>
      </c>
    </row>
    <row r="775" spans="4:6" x14ac:dyDescent="0.25">
      <c r="D775" s="44" t="s">
        <v>94</v>
      </c>
      <c r="E775" s="44" t="s">
        <v>733</v>
      </c>
      <c r="F775" s="44">
        <v>35.49</v>
      </c>
    </row>
    <row r="776" spans="4:6" x14ac:dyDescent="0.25">
      <c r="D776" s="43" t="s">
        <v>130</v>
      </c>
      <c r="E776" s="43" t="s">
        <v>734</v>
      </c>
      <c r="F776" s="43">
        <v>47.984000000000002</v>
      </c>
    </row>
    <row r="777" spans="4:6" x14ac:dyDescent="0.25">
      <c r="D777" s="44" t="s">
        <v>135</v>
      </c>
      <c r="E777" s="44" t="s">
        <v>735</v>
      </c>
      <c r="F777" s="44">
        <v>186.69</v>
      </c>
    </row>
    <row r="778" spans="4:6" x14ac:dyDescent="0.25">
      <c r="D778" s="43" t="s">
        <v>110</v>
      </c>
      <c r="E778" s="43" t="s">
        <v>736</v>
      </c>
      <c r="F778" s="43">
        <v>17.456</v>
      </c>
    </row>
    <row r="779" spans="4:6" x14ac:dyDescent="0.25">
      <c r="D779" s="44" t="s">
        <v>96</v>
      </c>
      <c r="E779" s="44" t="s">
        <v>737</v>
      </c>
      <c r="F779" s="44">
        <v>348.92800000000005</v>
      </c>
    </row>
    <row r="780" spans="4:6" x14ac:dyDescent="0.25">
      <c r="D780" s="43" t="s">
        <v>110</v>
      </c>
      <c r="E780" s="43" t="s">
        <v>484</v>
      </c>
      <c r="F780" s="43">
        <v>143.96</v>
      </c>
    </row>
    <row r="781" spans="4:6" x14ac:dyDescent="0.25">
      <c r="D781" s="44" t="s">
        <v>102</v>
      </c>
      <c r="E781" s="44" t="s">
        <v>523</v>
      </c>
      <c r="F781" s="44">
        <v>15.42</v>
      </c>
    </row>
    <row r="782" spans="4:6" x14ac:dyDescent="0.25">
      <c r="D782" s="43" t="s">
        <v>110</v>
      </c>
      <c r="E782" s="43" t="s">
        <v>738</v>
      </c>
      <c r="F782" s="43">
        <v>43.04</v>
      </c>
    </row>
    <row r="783" spans="4:6" x14ac:dyDescent="0.25">
      <c r="D783" s="44" t="s">
        <v>96</v>
      </c>
      <c r="E783" s="44" t="s">
        <v>739</v>
      </c>
      <c r="F783" s="44">
        <v>332.94</v>
      </c>
    </row>
    <row r="784" spans="4:6" x14ac:dyDescent="0.25">
      <c r="D784" s="43" t="s">
        <v>108</v>
      </c>
      <c r="E784" s="43" t="s">
        <v>740</v>
      </c>
      <c r="F784" s="43">
        <v>1363.96</v>
      </c>
    </row>
    <row r="785" spans="4:6" x14ac:dyDescent="0.25">
      <c r="D785" s="44" t="s">
        <v>98</v>
      </c>
      <c r="E785" s="44" t="s">
        <v>741</v>
      </c>
      <c r="F785" s="44">
        <v>9.9600000000000009</v>
      </c>
    </row>
    <row r="786" spans="4:6" x14ac:dyDescent="0.25">
      <c r="D786" s="43" t="s">
        <v>116</v>
      </c>
      <c r="E786" s="43" t="s">
        <v>466</v>
      </c>
      <c r="F786" s="43">
        <v>21.72</v>
      </c>
    </row>
    <row r="787" spans="4:6" x14ac:dyDescent="0.25">
      <c r="D787" s="44" t="s">
        <v>110</v>
      </c>
      <c r="E787" s="44" t="s">
        <v>716</v>
      </c>
      <c r="F787" s="44">
        <v>20.16</v>
      </c>
    </row>
    <row r="788" spans="4:6" x14ac:dyDescent="0.25">
      <c r="D788" s="43" t="s">
        <v>116</v>
      </c>
      <c r="E788" s="43" t="s">
        <v>742</v>
      </c>
      <c r="F788" s="43">
        <v>132.79</v>
      </c>
    </row>
    <row r="789" spans="4:6" x14ac:dyDescent="0.25">
      <c r="D789" s="44" t="s">
        <v>116</v>
      </c>
      <c r="E789" s="44" t="s">
        <v>117</v>
      </c>
      <c r="F789" s="44">
        <v>12.96</v>
      </c>
    </row>
    <row r="790" spans="4:6" x14ac:dyDescent="0.25">
      <c r="D790" s="43" t="s">
        <v>98</v>
      </c>
      <c r="E790" s="43" t="s">
        <v>743</v>
      </c>
      <c r="F790" s="43">
        <v>21.560000000000002</v>
      </c>
    </row>
    <row r="791" spans="4:6" x14ac:dyDescent="0.25">
      <c r="D791" s="44" t="s">
        <v>96</v>
      </c>
      <c r="E791" s="44" t="s">
        <v>577</v>
      </c>
      <c r="F791" s="44">
        <v>283.92</v>
      </c>
    </row>
    <row r="792" spans="4:6" x14ac:dyDescent="0.25">
      <c r="D792" s="43" t="s">
        <v>104</v>
      </c>
      <c r="E792" s="43" t="s">
        <v>744</v>
      </c>
      <c r="F792" s="43">
        <v>22.23</v>
      </c>
    </row>
    <row r="793" spans="4:6" x14ac:dyDescent="0.25">
      <c r="D793" s="44" t="s">
        <v>108</v>
      </c>
      <c r="E793" s="44" t="s">
        <v>341</v>
      </c>
      <c r="F793" s="44">
        <v>215.96799999999999</v>
      </c>
    </row>
    <row r="794" spans="4:6" x14ac:dyDescent="0.25">
      <c r="D794" s="43" t="s">
        <v>112</v>
      </c>
      <c r="E794" s="43" t="s">
        <v>745</v>
      </c>
      <c r="F794" s="43">
        <v>355.32</v>
      </c>
    </row>
    <row r="795" spans="4:6" x14ac:dyDescent="0.25">
      <c r="D795" s="44" t="s">
        <v>116</v>
      </c>
      <c r="E795" s="44" t="s">
        <v>746</v>
      </c>
      <c r="F795" s="44">
        <v>12.96</v>
      </c>
    </row>
    <row r="796" spans="4:6" x14ac:dyDescent="0.25">
      <c r="D796" s="43" t="s">
        <v>104</v>
      </c>
      <c r="E796" s="43" t="s">
        <v>747</v>
      </c>
      <c r="F796" s="43">
        <v>18.28</v>
      </c>
    </row>
    <row r="797" spans="4:6" x14ac:dyDescent="0.25">
      <c r="D797" s="44" t="s">
        <v>106</v>
      </c>
      <c r="E797" s="44" t="s">
        <v>748</v>
      </c>
      <c r="F797" s="44">
        <v>43.176000000000002</v>
      </c>
    </row>
    <row r="798" spans="4:6" x14ac:dyDescent="0.25">
      <c r="D798" s="43" t="s">
        <v>108</v>
      </c>
      <c r="E798" s="43" t="s">
        <v>749</v>
      </c>
      <c r="F798" s="43">
        <v>1983.9680000000001</v>
      </c>
    </row>
    <row r="799" spans="4:6" x14ac:dyDescent="0.25">
      <c r="D799" s="44" t="s">
        <v>104</v>
      </c>
      <c r="E799" s="44" t="s">
        <v>483</v>
      </c>
      <c r="F799" s="44">
        <v>28.4</v>
      </c>
    </row>
    <row r="800" spans="4:6" x14ac:dyDescent="0.25">
      <c r="D800" s="43" t="s">
        <v>130</v>
      </c>
      <c r="E800" s="43" t="s">
        <v>750</v>
      </c>
      <c r="F800" s="43">
        <v>149.97</v>
      </c>
    </row>
    <row r="801" spans="4:6" x14ac:dyDescent="0.25">
      <c r="D801" s="44" t="s">
        <v>106</v>
      </c>
      <c r="E801" s="44" t="s">
        <v>751</v>
      </c>
      <c r="F801" s="44">
        <v>11.52</v>
      </c>
    </row>
    <row r="802" spans="4:6" x14ac:dyDescent="0.25">
      <c r="D802" s="43" t="s">
        <v>100</v>
      </c>
      <c r="E802" s="43" t="s">
        <v>365</v>
      </c>
      <c r="F802" s="43">
        <v>1298.55</v>
      </c>
    </row>
    <row r="803" spans="4:6" x14ac:dyDescent="0.25">
      <c r="D803" s="44" t="s">
        <v>112</v>
      </c>
      <c r="E803" s="44" t="s">
        <v>752</v>
      </c>
      <c r="F803" s="44">
        <v>213.92</v>
      </c>
    </row>
    <row r="804" spans="4:6" x14ac:dyDescent="0.25">
      <c r="D804" s="43" t="s">
        <v>130</v>
      </c>
      <c r="E804" s="43" t="s">
        <v>655</v>
      </c>
      <c r="F804" s="43">
        <v>25.78</v>
      </c>
    </row>
    <row r="805" spans="4:6" x14ac:dyDescent="0.25">
      <c r="D805" s="44" t="s">
        <v>104</v>
      </c>
      <c r="E805" s="44" t="s">
        <v>747</v>
      </c>
      <c r="F805" s="44">
        <v>18.28</v>
      </c>
    </row>
    <row r="806" spans="4:6" x14ac:dyDescent="0.25">
      <c r="D806" s="43" t="s">
        <v>130</v>
      </c>
      <c r="E806" s="43" t="s">
        <v>753</v>
      </c>
      <c r="F806" s="43">
        <v>1399.93</v>
      </c>
    </row>
    <row r="807" spans="4:6" x14ac:dyDescent="0.25">
      <c r="D807" s="44" t="s">
        <v>116</v>
      </c>
      <c r="E807" s="44" t="s">
        <v>287</v>
      </c>
      <c r="F807" s="44">
        <v>51.84</v>
      </c>
    </row>
    <row r="808" spans="4:6" x14ac:dyDescent="0.25">
      <c r="D808" s="43" t="s">
        <v>116</v>
      </c>
      <c r="E808" s="43" t="s">
        <v>754</v>
      </c>
      <c r="F808" s="43">
        <v>5.3440000000000003</v>
      </c>
    </row>
    <row r="809" spans="4:6" x14ac:dyDescent="0.25">
      <c r="D809" s="44" t="s">
        <v>116</v>
      </c>
      <c r="E809" s="44" t="s">
        <v>195</v>
      </c>
      <c r="F809" s="44">
        <v>41.472000000000008</v>
      </c>
    </row>
    <row r="810" spans="4:6" x14ac:dyDescent="0.25">
      <c r="D810" s="43" t="s">
        <v>110</v>
      </c>
      <c r="E810" s="43" t="s">
        <v>755</v>
      </c>
      <c r="F810" s="43">
        <v>3.168000000000001</v>
      </c>
    </row>
    <row r="811" spans="4:6" x14ac:dyDescent="0.25">
      <c r="D811" s="44" t="s">
        <v>96</v>
      </c>
      <c r="E811" s="44" t="s">
        <v>756</v>
      </c>
      <c r="F811" s="44">
        <v>1228.4649999999999</v>
      </c>
    </row>
    <row r="812" spans="4:6" x14ac:dyDescent="0.25">
      <c r="D812" s="43" t="s">
        <v>110</v>
      </c>
      <c r="E812" s="43" t="s">
        <v>757</v>
      </c>
      <c r="F812" s="43">
        <v>31.086000000000006</v>
      </c>
    </row>
    <row r="813" spans="4:6" x14ac:dyDescent="0.25">
      <c r="D813" s="44" t="s">
        <v>116</v>
      </c>
      <c r="E813" s="44" t="s">
        <v>758</v>
      </c>
      <c r="F813" s="44">
        <v>335.52</v>
      </c>
    </row>
    <row r="814" spans="4:6" x14ac:dyDescent="0.25">
      <c r="D814" s="43" t="s">
        <v>130</v>
      </c>
      <c r="E814" s="43" t="s">
        <v>759</v>
      </c>
      <c r="F814" s="43">
        <v>239.96999999999997</v>
      </c>
    </row>
    <row r="815" spans="4:6" x14ac:dyDescent="0.25">
      <c r="D815" s="44" t="s">
        <v>98</v>
      </c>
      <c r="E815" s="44" t="s">
        <v>709</v>
      </c>
      <c r="F815" s="44">
        <v>9.82</v>
      </c>
    </row>
    <row r="816" spans="4:6" x14ac:dyDescent="0.25">
      <c r="D816" s="43" t="s">
        <v>130</v>
      </c>
      <c r="E816" s="43" t="s">
        <v>760</v>
      </c>
      <c r="F816" s="43">
        <v>67.8</v>
      </c>
    </row>
    <row r="817" spans="4:6" x14ac:dyDescent="0.25">
      <c r="D817" s="44" t="s">
        <v>130</v>
      </c>
      <c r="E817" s="44" t="s">
        <v>309</v>
      </c>
      <c r="F817" s="44">
        <v>167.97</v>
      </c>
    </row>
    <row r="818" spans="4:6" x14ac:dyDescent="0.25">
      <c r="D818" s="43" t="s">
        <v>158</v>
      </c>
      <c r="E818" s="43" t="s">
        <v>761</v>
      </c>
      <c r="F818" s="43">
        <v>35</v>
      </c>
    </row>
    <row r="819" spans="4:6" x14ac:dyDescent="0.25">
      <c r="D819" s="44" t="s">
        <v>240</v>
      </c>
      <c r="E819" s="44" t="s">
        <v>762</v>
      </c>
      <c r="F819" s="44">
        <v>37.24</v>
      </c>
    </row>
    <row r="820" spans="4:6" x14ac:dyDescent="0.25">
      <c r="D820" s="43" t="s">
        <v>135</v>
      </c>
      <c r="E820" s="43" t="s">
        <v>763</v>
      </c>
      <c r="F820" s="43">
        <v>15.28</v>
      </c>
    </row>
    <row r="821" spans="4:6" x14ac:dyDescent="0.25">
      <c r="D821" s="44" t="s">
        <v>96</v>
      </c>
      <c r="E821" s="44" t="s">
        <v>764</v>
      </c>
      <c r="F821" s="44">
        <v>301.95999999999998</v>
      </c>
    </row>
    <row r="822" spans="4:6" x14ac:dyDescent="0.25">
      <c r="D822" s="43" t="s">
        <v>112</v>
      </c>
      <c r="E822" s="43" t="s">
        <v>765</v>
      </c>
      <c r="F822" s="43">
        <v>180.66</v>
      </c>
    </row>
    <row r="823" spans="4:6" x14ac:dyDescent="0.25">
      <c r="D823" s="44" t="s">
        <v>108</v>
      </c>
      <c r="E823" s="44" t="s">
        <v>766</v>
      </c>
      <c r="F823" s="44">
        <v>191.98</v>
      </c>
    </row>
    <row r="824" spans="4:6" x14ac:dyDescent="0.25">
      <c r="D824" s="43" t="s">
        <v>108</v>
      </c>
      <c r="E824" s="43" t="s">
        <v>767</v>
      </c>
      <c r="F824" s="43">
        <v>65.989999999999995</v>
      </c>
    </row>
    <row r="825" spans="4:6" x14ac:dyDescent="0.25">
      <c r="D825" s="44" t="s">
        <v>106</v>
      </c>
      <c r="E825" s="44" t="s">
        <v>768</v>
      </c>
      <c r="F825" s="44">
        <v>35.216000000000001</v>
      </c>
    </row>
    <row r="826" spans="4:6" x14ac:dyDescent="0.25">
      <c r="D826" s="43" t="s">
        <v>112</v>
      </c>
      <c r="E826" s="43" t="s">
        <v>769</v>
      </c>
      <c r="F826" s="43">
        <v>23.696000000000002</v>
      </c>
    </row>
    <row r="827" spans="4:6" x14ac:dyDescent="0.25">
      <c r="D827" s="44" t="s">
        <v>263</v>
      </c>
      <c r="E827" s="44" t="s">
        <v>770</v>
      </c>
      <c r="F827" s="44">
        <v>265.47500000000002</v>
      </c>
    </row>
    <row r="828" spans="4:6" x14ac:dyDescent="0.25">
      <c r="D828" s="43" t="s">
        <v>110</v>
      </c>
      <c r="E828" s="43" t="s">
        <v>771</v>
      </c>
      <c r="F828" s="43">
        <v>51.183999999999983</v>
      </c>
    </row>
    <row r="829" spans="4:6" x14ac:dyDescent="0.25">
      <c r="D829" s="44" t="s">
        <v>116</v>
      </c>
      <c r="E829" s="44" t="s">
        <v>772</v>
      </c>
      <c r="F829" s="44">
        <v>9.6640000000000015</v>
      </c>
    </row>
    <row r="830" spans="4:6" x14ac:dyDescent="0.25">
      <c r="D830" s="43" t="s">
        <v>108</v>
      </c>
      <c r="E830" s="43" t="s">
        <v>507</v>
      </c>
      <c r="F830" s="43">
        <v>21.071999999999999</v>
      </c>
    </row>
    <row r="831" spans="4:6" x14ac:dyDescent="0.25">
      <c r="D831" s="44" t="s">
        <v>106</v>
      </c>
      <c r="E831" s="44" t="s">
        <v>728</v>
      </c>
      <c r="F831" s="44">
        <v>60.449999999999996</v>
      </c>
    </row>
    <row r="832" spans="4:6" x14ac:dyDescent="0.25">
      <c r="D832" s="43" t="s">
        <v>106</v>
      </c>
      <c r="E832" s="43" t="s">
        <v>773</v>
      </c>
      <c r="F832" s="43">
        <v>11.52</v>
      </c>
    </row>
    <row r="833" spans="4:6" x14ac:dyDescent="0.25">
      <c r="D833" s="44" t="s">
        <v>94</v>
      </c>
      <c r="E833" s="44" t="s">
        <v>774</v>
      </c>
      <c r="F833" s="44">
        <v>186.048</v>
      </c>
    </row>
    <row r="834" spans="4:6" x14ac:dyDescent="0.25">
      <c r="D834" s="43" t="s">
        <v>110</v>
      </c>
      <c r="E834" s="43" t="s">
        <v>775</v>
      </c>
      <c r="F834" s="43">
        <v>37.44</v>
      </c>
    </row>
    <row r="835" spans="4:6" x14ac:dyDescent="0.25">
      <c r="D835" s="44" t="s">
        <v>110</v>
      </c>
      <c r="E835" s="44" t="s">
        <v>776</v>
      </c>
      <c r="F835" s="44">
        <v>26.975999999999999</v>
      </c>
    </row>
    <row r="836" spans="4:6" x14ac:dyDescent="0.25">
      <c r="D836" s="43" t="s">
        <v>240</v>
      </c>
      <c r="E836" s="43" t="s">
        <v>777</v>
      </c>
      <c r="F836" s="43">
        <v>11.36</v>
      </c>
    </row>
    <row r="837" spans="4:6" x14ac:dyDescent="0.25">
      <c r="D837" s="44" t="s">
        <v>98</v>
      </c>
      <c r="E837" s="44" t="s">
        <v>778</v>
      </c>
      <c r="F837" s="44">
        <v>14.62</v>
      </c>
    </row>
    <row r="838" spans="4:6" x14ac:dyDescent="0.25">
      <c r="D838" s="43" t="s">
        <v>108</v>
      </c>
      <c r="E838" s="43" t="s">
        <v>286</v>
      </c>
      <c r="F838" s="43">
        <v>83.72</v>
      </c>
    </row>
    <row r="839" spans="4:6" x14ac:dyDescent="0.25">
      <c r="D839" s="44" t="s">
        <v>96</v>
      </c>
      <c r="E839" s="44" t="s">
        <v>375</v>
      </c>
      <c r="F839" s="44">
        <v>287.94</v>
      </c>
    </row>
    <row r="840" spans="4:6" x14ac:dyDescent="0.25">
      <c r="D840" s="43" t="s">
        <v>104</v>
      </c>
      <c r="E840" s="43" t="s">
        <v>779</v>
      </c>
      <c r="F840" s="43">
        <v>48.896000000000001</v>
      </c>
    </row>
    <row r="841" spans="4:6" x14ac:dyDescent="0.25">
      <c r="D841" s="44" t="s">
        <v>130</v>
      </c>
      <c r="E841" s="44" t="s">
        <v>780</v>
      </c>
      <c r="F841" s="44">
        <v>115.36</v>
      </c>
    </row>
    <row r="842" spans="4:6" x14ac:dyDescent="0.25">
      <c r="D842" s="43" t="s">
        <v>106</v>
      </c>
      <c r="E842" s="43" t="s">
        <v>781</v>
      </c>
      <c r="F842" s="43">
        <v>5.16</v>
      </c>
    </row>
    <row r="843" spans="4:6" x14ac:dyDescent="0.25">
      <c r="D843" s="44" t="s">
        <v>116</v>
      </c>
      <c r="E843" s="44" t="s">
        <v>782</v>
      </c>
      <c r="F843" s="44">
        <v>38.880000000000003</v>
      </c>
    </row>
    <row r="844" spans="4:6" x14ac:dyDescent="0.25">
      <c r="D844" s="43" t="s">
        <v>106</v>
      </c>
      <c r="E844" s="43" t="s">
        <v>397</v>
      </c>
      <c r="F844" s="43">
        <v>185.88</v>
      </c>
    </row>
    <row r="845" spans="4:6" x14ac:dyDescent="0.25">
      <c r="D845" s="44" t="s">
        <v>104</v>
      </c>
      <c r="E845" s="44" t="s">
        <v>744</v>
      </c>
      <c r="F845" s="44">
        <v>44.46</v>
      </c>
    </row>
    <row r="846" spans="4:6" x14ac:dyDescent="0.25">
      <c r="D846" s="43" t="s">
        <v>102</v>
      </c>
      <c r="E846" s="43" t="s">
        <v>562</v>
      </c>
      <c r="F846" s="43">
        <v>242.94</v>
      </c>
    </row>
    <row r="847" spans="4:6" x14ac:dyDescent="0.25">
      <c r="D847" s="44" t="s">
        <v>116</v>
      </c>
      <c r="E847" s="44" t="s">
        <v>783</v>
      </c>
      <c r="F847" s="44">
        <v>39.96</v>
      </c>
    </row>
    <row r="848" spans="4:6" x14ac:dyDescent="0.25">
      <c r="D848" s="43" t="s">
        <v>240</v>
      </c>
      <c r="E848" s="43" t="s">
        <v>784</v>
      </c>
      <c r="F848" s="43">
        <v>102.30000000000001</v>
      </c>
    </row>
    <row r="849" spans="4:6" x14ac:dyDescent="0.25">
      <c r="D849" s="44" t="s">
        <v>102</v>
      </c>
      <c r="E849" s="44" t="s">
        <v>785</v>
      </c>
      <c r="F849" s="44">
        <v>21.36</v>
      </c>
    </row>
    <row r="850" spans="4:6" x14ac:dyDescent="0.25">
      <c r="D850" s="43" t="s">
        <v>116</v>
      </c>
      <c r="E850" s="43" t="s">
        <v>337</v>
      </c>
      <c r="F850" s="43">
        <v>7.61</v>
      </c>
    </row>
    <row r="851" spans="4:6" x14ac:dyDescent="0.25">
      <c r="D851" s="44" t="s">
        <v>158</v>
      </c>
      <c r="E851" s="44" t="s">
        <v>401</v>
      </c>
      <c r="F851" s="44">
        <v>7.16</v>
      </c>
    </row>
    <row r="852" spans="4:6" x14ac:dyDescent="0.25">
      <c r="D852" s="43" t="s">
        <v>240</v>
      </c>
      <c r="E852" s="43" t="s">
        <v>434</v>
      </c>
      <c r="F852" s="43">
        <v>7.36</v>
      </c>
    </row>
    <row r="853" spans="4:6" x14ac:dyDescent="0.25">
      <c r="D853" s="44" t="s">
        <v>106</v>
      </c>
      <c r="E853" s="44" t="s">
        <v>786</v>
      </c>
      <c r="F853" s="44">
        <v>23.1</v>
      </c>
    </row>
    <row r="854" spans="4:6" x14ac:dyDescent="0.25">
      <c r="D854" s="43" t="s">
        <v>130</v>
      </c>
      <c r="E854" s="43" t="s">
        <v>787</v>
      </c>
      <c r="F854" s="43">
        <v>191.47200000000001</v>
      </c>
    </row>
    <row r="855" spans="4:6" x14ac:dyDescent="0.25">
      <c r="D855" s="44" t="s">
        <v>106</v>
      </c>
      <c r="E855" s="44" t="s">
        <v>788</v>
      </c>
      <c r="F855" s="44">
        <v>5.2480000000000002</v>
      </c>
    </row>
    <row r="856" spans="4:6" x14ac:dyDescent="0.25">
      <c r="D856" s="43" t="s">
        <v>108</v>
      </c>
      <c r="E856" s="43" t="s">
        <v>789</v>
      </c>
      <c r="F856" s="43">
        <v>59.184000000000005</v>
      </c>
    </row>
    <row r="857" spans="4:6" x14ac:dyDescent="0.25">
      <c r="D857" s="44" t="s">
        <v>98</v>
      </c>
      <c r="E857" s="44" t="s">
        <v>790</v>
      </c>
      <c r="F857" s="44">
        <v>2.89</v>
      </c>
    </row>
    <row r="858" spans="4:6" x14ac:dyDescent="0.25">
      <c r="D858" s="43" t="s">
        <v>104</v>
      </c>
      <c r="E858" s="43" t="s">
        <v>791</v>
      </c>
      <c r="F858" s="43">
        <v>51.94</v>
      </c>
    </row>
    <row r="859" spans="4:6" x14ac:dyDescent="0.25">
      <c r="D859" s="44" t="s">
        <v>98</v>
      </c>
      <c r="E859" s="44" t="s">
        <v>792</v>
      </c>
      <c r="F859" s="44">
        <v>15.936000000000002</v>
      </c>
    </row>
    <row r="860" spans="4:6" x14ac:dyDescent="0.25">
      <c r="D860" s="43" t="s">
        <v>110</v>
      </c>
      <c r="E860" s="43" t="s">
        <v>793</v>
      </c>
      <c r="F860" s="43">
        <v>44.910000000000011</v>
      </c>
    </row>
    <row r="861" spans="4:6" x14ac:dyDescent="0.25">
      <c r="D861" s="44" t="s">
        <v>110</v>
      </c>
      <c r="E861" s="44" t="s">
        <v>794</v>
      </c>
      <c r="F861" s="44">
        <v>1141.4700000000003</v>
      </c>
    </row>
    <row r="862" spans="4:6" x14ac:dyDescent="0.25">
      <c r="D862" s="43" t="s">
        <v>108</v>
      </c>
      <c r="E862" s="43" t="s">
        <v>597</v>
      </c>
      <c r="F862" s="43">
        <v>280.78200000000004</v>
      </c>
    </row>
    <row r="863" spans="4:6" x14ac:dyDescent="0.25">
      <c r="D863" s="44" t="s">
        <v>116</v>
      </c>
      <c r="E863" s="44" t="s">
        <v>795</v>
      </c>
      <c r="F863" s="44">
        <v>34.44</v>
      </c>
    </row>
    <row r="864" spans="4:6" x14ac:dyDescent="0.25">
      <c r="D864" s="43" t="s">
        <v>116</v>
      </c>
      <c r="E864" s="43" t="s">
        <v>360</v>
      </c>
      <c r="F864" s="43">
        <v>11.36</v>
      </c>
    </row>
    <row r="865" spans="4:6" x14ac:dyDescent="0.25">
      <c r="D865" s="44" t="s">
        <v>110</v>
      </c>
      <c r="E865" s="44" t="s">
        <v>515</v>
      </c>
      <c r="F865" s="44">
        <v>106.34399999999999</v>
      </c>
    </row>
    <row r="866" spans="4:6" x14ac:dyDescent="0.25">
      <c r="D866" s="43" t="s">
        <v>116</v>
      </c>
      <c r="E866" s="43" t="s">
        <v>796</v>
      </c>
      <c r="F866" s="43">
        <v>192.16000000000003</v>
      </c>
    </row>
    <row r="867" spans="4:6" x14ac:dyDescent="0.25">
      <c r="D867" s="44" t="s">
        <v>104</v>
      </c>
      <c r="E867" s="44" t="s">
        <v>324</v>
      </c>
      <c r="F867" s="44">
        <v>322.59000000000003</v>
      </c>
    </row>
    <row r="868" spans="4:6" x14ac:dyDescent="0.25">
      <c r="D868" s="43" t="s">
        <v>130</v>
      </c>
      <c r="E868" s="43" t="s">
        <v>354</v>
      </c>
      <c r="F868" s="43">
        <v>29.99</v>
      </c>
    </row>
    <row r="869" spans="4:6" x14ac:dyDescent="0.25">
      <c r="D869" s="44" t="s">
        <v>130</v>
      </c>
      <c r="E869" s="44" t="s">
        <v>797</v>
      </c>
      <c r="F869" s="44">
        <v>371.96999999999997</v>
      </c>
    </row>
    <row r="870" spans="4:6" x14ac:dyDescent="0.25">
      <c r="D870" s="43" t="s">
        <v>110</v>
      </c>
      <c r="E870" s="43" t="s">
        <v>798</v>
      </c>
      <c r="F870" s="43">
        <v>5.8920000000000012</v>
      </c>
    </row>
    <row r="871" spans="4:6" x14ac:dyDescent="0.25">
      <c r="D871" s="44" t="s">
        <v>110</v>
      </c>
      <c r="E871" s="44" t="s">
        <v>799</v>
      </c>
      <c r="F871" s="44">
        <v>68.472000000000008</v>
      </c>
    </row>
    <row r="872" spans="4:6" x14ac:dyDescent="0.25">
      <c r="D872" s="43" t="s">
        <v>96</v>
      </c>
      <c r="E872" s="43" t="s">
        <v>800</v>
      </c>
      <c r="F872" s="43">
        <v>1242.8999999999999</v>
      </c>
    </row>
    <row r="873" spans="4:6" x14ac:dyDescent="0.25">
      <c r="D873" s="44" t="s">
        <v>102</v>
      </c>
      <c r="E873" s="44" t="s">
        <v>523</v>
      </c>
      <c r="F873" s="44">
        <v>30.84</v>
      </c>
    </row>
    <row r="874" spans="4:6" x14ac:dyDescent="0.25">
      <c r="D874" s="43" t="s">
        <v>106</v>
      </c>
      <c r="E874" s="43" t="s">
        <v>801</v>
      </c>
      <c r="F874" s="43">
        <v>13.48</v>
      </c>
    </row>
    <row r="875" spans="4:6" x14ac:dyDescent="0.25">
      <c r="D875" s="44" t="s">
        <v>104</v>
      </c>
      <c r="E875" s="44" t="s">
        <v>647</v>
      </c>
      <c r="F875" s="44">
        <v>31.400000000000002</v>
      </c>
    </row>
    <row r="876" spans="4:6" x14ac:dyDescent="0.25">
      <c r="D876" s="43" t="s">
        <v>104</v>
      </c>
      <c r="E876" s="43" t="s">
        <v>802</v>
      </c>
      <c r="F876" s="43">
        <v>17.46</v>
      </c>
    </row>
    <row r="877" spans="4:6" x14ac:dyDescent="0.25">
      <c r="D877" s="44" t="s">
        <v>110</v>
      </c>
      <c r="E877" s="44" t="s">
        <v>803</v>
      </c>
      <c r="F877" s="44">
        <v>13.943999999999999</v>
      </c>
    </row>
    <row r="878" spans="4:6" x14ac:dyDescent="0.25">
      <c r="D878" s="43" t="s">
        <v>102</v>
      </c>
      <c r="E878" s="43" t="s">
        <v>804</v>
      </c>
      <c r="F878" s="43">
        <v>83.76</v>
      </c>
    </row>
    <row r="879" spans="4:6" x14ac:dyDescent="0.25">
      <c r="D879" s="44" t="s">
        <v>110</v>
      </c>
      <c r="E879" s="44" t="s">
        <v>168</v>
      </c>
      <c r="F879" s="44">
        <v>37.659999999999997</v>
      </c>
    </row>
    <row r="880" spans="4:6" x14ac:dyDescent="0.25">
      <c r="D880" s="43" t="s">
        <v>116</v>
      </c>
      <c r="E880" s="43" t="s">
        <v>476</v>
      </c>
      <c r="F880" s="43">
        <v>34.68</v>
      </c>
    </row>
    <row r="881" spans="4:6" x14ac:dyDescent="0.25">
      <c r="D881" s="44" t="s">
        <v>130</v>
      </c>
      <c r="E881" s="44" t="s">
        <v>805</v>
      </c>
      <c r="F881" s="44">
        <v>149.94999999999999</v>
      </c>
    </row>
    <row r="882" spans="4:6" x14ac:dyDescent="0.25">
      <c r="D882" s="43" t="s">
        <v>110</v>
      </c>
      <c r="E882" s="43" t="s">
        <v>513</v>
      </c>
      <c r="F882" s="43">
        <v>51.311999999999998</v>
      </c>
    </row>
    <row r="883" spans="4:6" x14ac:dyDescent="0.25">
      <c r="D883" s="44" t="s">
        <v>116</v>
      </c>
      <c r="E883" s="44" t="s">
        <v>806</v>
      </c>
      <c r="F883" s="44">
        <v>4.54</v>
      </c>
    </row>
    <row r="884" spans="4:6" x14ac:dyDescent="0.25">
      <c r="D884" s="43" t="s">
        <v>106</v>
      </c>
      <c r="E884" s="43" t="s">
        <v>807</v>
      </c>
      <c r="F884" s="43">
        <v>15.92</v>
      </c>
    </row>
    <row r="885" spans="4:6" x14ac:dyDescent="0.25">
      <c r="D885" s="44" t="s">
        <v>108</v>
      </c>
      <c r="E885" s="44" t="s">
        <v>808</v>
      </c>
      <c r="F885" s="44">
        <v>543.91999999999996</v>
      </c>
    </row>
    <row r="886" spans="4:6" x14ac:dyDescent="0.25">
      <c r="D886" s="43" t="s">
        <v>102</v>
      </c>
      <c r="E886" s="43" t="s">
        <v>437</v>
      </c>
      <c r="F886" s="43">
        <v>155.82000000000002</v>
      </c>
    </row>
    <row r="887" spans="4:6" x14ac:dyDescent="0.25">
      <c r="D887" s="44" t="s">
        <v>110</v>
      </c>
      <c r="E887" s="44" t="s">
        <v>809</v>
      </c>
      <c r="F887" s="44">
        <v>70.00800000000001</v>
      </c>
    </row>
    <row r="888" spans="4:6" x14ac:dyDescent="0.25">
      <c r="D888" s="43" t="s">
        <v>135</v>
      </c>
      <c r="E888" s="43" t="s">
        <v>260</v>
      </c>
      <c r="F888" s="43">
        <v>15.648</v>
      </c>
    </row>
    <row r="889" spans="4:6" x14ac:dyDescent="0.25">
      <c r="D889" s="44" t="s">
        <v>98</v>
      </c>
      <c r="E889" s="44" t="s">
        <v>531</v>
      </c>
      <c r="F889" s="44">
        <v>103.60000000000001</v>
      </c>
    </row>
    <row r="890" spans="4:6" x14ac:dyDescent="0.25">
      <c r="D890" s="43" t="s">
        <v>116</v>
      </c>
      <c r="E890" s="43" t="s">
        <v>810</v>
      </c>
      <c r="F890" s="43">
        <v>46.96</v>
      </c>
    </row>
    <row r="891" spans="4:6" x14ac:dyDescent="0.25">
      <c r="D891" s="44" t="s">
        <v>110</v>
      </c>
      <c r="E891" s="44" t="s">
        <v>811</v>
      </c>
      <c r="F891" s="44">
        <v>8.9040000000000017</v>
      </c>
    </row>
    <row r="892" spans="4:6" x14ac:dyDescent="0.25">
      <c r="D892" s="43" t="s">
        <v>98</v>
      </c>
      <c r="E892" s="43" t="s">
        <v>812</v>
      </c>
      <c r="F892" s="43">
        <v>10.440000000000001</v>
      </c>
    </row>
    <row r="893" spans="4:6" x14ac:dyDescent="0.25">
      <c r="D893" s="44" t="s">
        <v>110</v>
      </c>
      <c r="E893" s="44" t="s">
        <v>813</v>
      </c>
      <c r="F893" s="44">
        <v>18.335999999999999</v>
      </c>
    </row>
    <row r="894" spans="4:6" x14ac:dyDescent="0.25">
      <c r="D894" s="43" t="s">
        <v>108</v>
      </c>
      <c r="E894" s="43" t="s">
        <v>257</v>
      </c>
      <c r="F894" s="43">
        <v>323.97600000000006</v>
      </c>
    </row>
    <row r="895" spans="4:6" x14ac:dyDescent="0.25">
      <c r="D895" s="44" t="s">
        <v>116</v>
      </c>
      <c r="E895" s="44" t="s">
        <v>814</v>
      </c>
      <c r="F895" s="44">
        <v>20.04</v>
      </c>
    </row>
    <row r="896" spans="4:6" x14ac:dyDescent="0.25">
      <c r="D896" s="43" t="s">
        <v>102</v>
      </c>
      <c r="E896" s="43" t="s">
        <v>674</v>
      </c>
      <c r="F896" s="43">
        <v>64.959999999999994</v>
      </c>
    </row>
    <row r="897" spans="4:6" x14ac:dyDescent="0.25">
      <c r="D897" s="44" t="s">
        <v>116</v>
      </c>
      <c r="E897" s="44" t="s">
        <v>815</v>
      </c>
      <c r="F897" s="44">
        <v>12.96</v>
      </c>
    </row>
    <row r="898" spans="4:6" x14ac:dyDescent="0.25">
      <c r="D898" s="43" t="s">
        <v>94</v>
      </c>
      <c r="E898" s="43" t="s">
        <v>816</v>
      </c>
      <c r="F898" s="43">
        <v>323.13600000000002</v>
      </c>
    </row>
    <row r="899" spans="4:6" x14ac:dyDescent="0.25">
      <c r="D899" s="44" t="s">
        <v>108</v>
      </c>
      <c r="E899" s="44" t="s">
        <v>817</v>
      </c>
      <c r="F899" s="44">
        <v>90.93</v>
      </c>
    </row>
    <row r="900" spans="4:6" x14ac:dyDescent="0.25">
      <c r="D900" s="43" t="s">
        <v>110</v>
      </c>
      <c r="E900" s="43" t="s">
        <v>818</v>
      </c>
      <c r="F900" s="43">
        <v>52.775999999999996</v>
      </c>
    </row>
    <row r="901" spans="4:6" x14ac:dyDescent="0.25">
      <c r="D901" s="44" t="s">
        <v>108</v>
      </c>
      <c r="E901" s="44" t="s">
        <v>819</v>
      </c>
      <c r="F901" s="44">
        <v>1199.8</v>
      </c>
    </row>
    <row r="902" spans="4:6" x14ac:dyDescent="0.25">
      <c r="D902" s="43" t="s">
        <v>130</v>
      </c>
      <c r="E902" s="43" t="s">
        <v>820</v>
      </c>
      <c r="F902" s="43">
        <v>1928.7800000000002</v>
      </c>
    </row>
    <row r="903" spans="4:6" x14ac:dyDescent="0.25">
      <c r="D903" s="44" t="s">
        <v>102</v>
      </c>
      <c r="E903" s="44" t="s">
        <v>821</v>
      </c>
      <c r="F903" s="44">
        <v>352.38</v>
      </c>
    </row>
    <row r="904" spans="4:6" x14ac:dyDescent="0.25">
      <c r="D904" s="43" t="s">
        <v>104</v>
      </c>
      <c r="E904" s="43" t="s">
        <v>653</v>
      </c>
      <c r="F904" s="43">
        <v>22.200000000000003</v>
      </c>
    </row>
    <row r="905" spans="4:6" x14ac:dyDescent="0.25">
      <c r="D905" s="44" t="s">
        <v>104</v>
      </c>
      <c r="E905" s="44" t="s">
        <v>374</v>
      </c>
      <c r="F905" s="44">
        <v>46.94</v>
      </c>
    </row>
    <row r="906" spans="4:6" x14ac:dyDescent="0.25">
      <c r="D906" s="43" t="s">
        <v>130</v>
      </c>
      <c r="E906" s="43" t="s">
        <v>509</v>
      </c>
      <c r="F906" s="43">
        <v>143.73000000000002</v>
      </c>
    </row>
    <row r="907" spans="4:6" x14ac:dyDescent="0.25">
      <c r="D907" s="44" t="s">
        <v>100</v>
      </c>
      <c r="E907" s="44" t="s">
        <v>822</v>
      </c>
      <c r="F907" s="44">
        <v>99.918000000000006</v>
      </c>
    </row>
    <row r="908" spans="4:6" x14ac:dyDescent="0.25">
      <c r="D908" s="43" t="s">
        <v>96</v>
      </c>
      <c r="E908" s="43" t="s">
        <v>566</v>
      </c>
      <c r="F908" s="43">
        <v>797.94399999999996</v>
      </c>
    </row>
    <row r="909" spans="4:6" x14ac:dyDescent="0.25">
      <c r="D909" s="44" t="s">
        <v>110</v>
      </c>
      <c r="E909" s="44" t="s">
        <v>383</v>
      </c>
      <c r="F909" s="44">
        <v>8.5679999999999978</v>
      </c>
    </row>
    <row r="910" spans="4:6" x14ac:dyDescent="0.25">
      <c r="D910" s="43" t="s">
        <v>135</v>
      </c>
      <c r="E910" s="43" t="s">
        <v>735</v>
      </c>
      <c r="F910" s="43">
        <v>149.352</v>
      </c>
    </row>
    <row r="911" spans="4:6" x14ac:dyDescent="0.25">
      <c r="D911" s="44" t="s">
        <v>102</v>
      </c>
      <c r="E911" s="44" t="s">
        <v>823</v>
      </c>
      <c r="F911" s="44">
        <v>12.991999999999999</v>
      </c>
    </row>
    <row r="912" spans="4:6" x14ac:dyDescent="0.25">
      <c r="D912" s="43" t="s">
        <v>102</v>
      </c>
      <c r="E912" s="43" t="s">
        <v>679</v>
      </c>
      <c r="F912" s="43">
        <v>24.56</v>
      </c>
    </row>
    <row r="913" spans="4:6" x14ac:dyDescent="0.25">
      <c r="D913" s="44" t="s">
        <v>130</v>
      </c>
      <c r="E913" s="44" t="s">
        <v>824</v>
      </c>
      <c r="F913" s="44">
        <v>85.14</v>
      </c>
    </row>
    <row r="914" spans="4:6" x14ac:dyDescent="0.25">
      <c r="D914" s="43" t="s">
        <v>108</v>
      </c>
      <c r="E914" s="43" t="s">
        <v>825</v>
      </c>
      <c r="F914" s="43">
        <v>21.99</v>
      </c>
    </row>
    <row r="915" spans="4:6" x14ac:dyDescent="0.25">
      <c r="D915" s="44" t="s">
        <v>112</v>
      </c>
      <c r="E915" s="44" t="s">
        <v>826</v>
      </c>
      <c r="F915" s="44">
        <v>406.59999999999997</v>
      </c>
    </row>
    <row r="916" spans="4:6" x14ac:dyDescent="0.25">
      <c r="D916" s="43" t="s">
        <v>110</v>
      </c>
      <c r="E916" s="43" t="s">
        <v>221</v>
      </c>
      <c r="F916" s="43">
        <v>841.5680000000001</v>
      </c>
    </row>
    <row r="917" spans="4:6" x14ac:dyDescent="0.25">
      <c r="D917" s="44" t="s">
        <v>116</v>
      </c>
      <c r="E917" s="44" t="s">
        <v>827</v>
      </c>
      <c r="F917" s="44">
        <v>15.552000000000003</v>
      </c>
    </row>
    <row r="918" spans="4:6" x14ac:dyDescent="0.25">
      <c r="D918" s="43" t="s">
        <v>130</v>
      </c>
      <c r="E918" s="43" t="s">
        <v>828</v>
      </c>
      <c r="F918" s="43">
        <v>252.00000000000003</v>
      </c>
    </row>
    <row r="919" spans="4:6" x14ac:dyDescent="0.25">
      <c r="D919" s="44" t="s">
        <v>106</v>
      </c>
      <c r="E919" s="44" t="s">
        <v>439</v>
      </c>
      <c r="F919" s="44">
        <v>46.2</v>
      </c>
    </row>
    <row r="920" spans="4:6" x14ac:dyDescent="0.25">
      <c r="D920" s="43" t="s">
        <v>112</v>
      </c>
      <c r="E920" s="43" t="s">
        <v>442</v>
      </c>
      <c r="F920" s="43">
        <v>28.84</v>
      </c>
    </row>
    <row r="921" spans="4:6" x14ac:dyDescent="0.25">
      <c r="D921" s="44" t="s">
        <v>106</v>
      </c>
      <c r="E921" s="44" t="s">
        <v>589</v>
      </c>
      <c r="F921" s="44">
        <v>14.592000000000002</v>
      </c>
    </row>
    <row r="922" spans="4:6" x14ac:dyDescent="0.25">
      <c r="D922" s="43" t="s">
        <v>106</v>
      </c>
      <c r="E922" s="43" t="s">
        <v>829</v>
      </c>
      <c r="F922" s="43">
        <v>89.855999999999995</v>
      </c>
    </row>
    <row r="923" spans="4:6" x14ac:dyDescent="0.25">
      <c r="D923" s="44" t="s">
        <v>116</v>
      </c>
      <c r="E923" s="44" t="s">
        <v>711</v>
      </c>
      <c r="F923" s="44">
        <v>13.872000000000002</v>
      </c>
    </row>
    <row r="924" spans="4:6" x14ac:dyDescent="0.25">
      <c r="D924" s="43" t="s">
        <v>116</v>
      </c>
      <c r="E924" s="43" t="s">
        <v>830</v>
      </c>
      <c r="F924" s="43">
        <v>12.192</v>
      </c>
    </row>
    <row r="925" spans="4:6" x14ac:dyDescent="0.25">
      <c r="D925" s="44" t="s">
        <v>116</v>
      </c>
      <c r="E925" s="44" t="s">
        <v>831</v>
      </c>
      <c r="F925" s="44">
        <v>45.056000000000004</v>
      </c>
    </row>
    <row r="926" spans="4:6" x14ac:dyDescent="0.25">
      <c r="D926" s="43" t="s">
        <v>110</v>
      </c>
      <c r="E926" s="43" t="s">
        <v>832</v>
      </c>
      <c r="F926" s="43">
        <v>29.718000000000007</v>
      </c>
    </row>
    <row r="927" spans="4:6" x14ac:dyDescent="0.25">
      <c r="D927" s="44" t="s">
        <v>116</v>
      </c>
      <c r="E927" s="44" t="s">
        <v>782</v>
      </c>
      <c r="F927" s="44">
        <v>15.552000000000003</v>
      </c>
    </row>
    <row r="928" spans="4:6" x14ac:dyDescent="0.25">
      <c r="D928" s="43" t="s">
        <v>112</v>
      </c>
      <c r="E928" s="43" t="s">
        <v>245</v>
      </c>
      <c r="F928" s="43">
        <v>447.69600000000003</v>
      </c>
    </row>
    <row r="929" spans="4:6" x14ac:dyDescent="0.25">
      <c r="D929" s="44" t="s">
        <v>130</v>
      </c>
      <c r="E929" s="44" t="s">
        <v>438</v>
      </c>
      <c r="F929" s="44">
        <v>159.99</v>
      </c>
    </row>
    <row r="930" spans="4:6" x14ac:dyDescent="0.25">
      <c r="D930" s="43" t="s">
        <v>116</v>
      </c>
      <c r="E930" s="43" t="s">
        <v>833</v>
      </c>
      <c r="F930" s="43">
        <v>12.96</v>
      </c>
    </row>
    <row r="931" spans="4:6" x14ac:dyDescent="0.25">
      <c r="D931" s="44" t="s">
        <v>112</v>
      </c>
      <c r="E931" s="44" t="s">
        <v>834</v>
      </c>
      <c r="F931" s="44">
        <v>134.47999999999999</v>
      </c>
    </row>
    <row r="932" spans="4:6" x14ac:dyDescent="0.25">
      <c r="D932" s="43" t="s">
        <v>116</v>
      </c>
      <c r="E932" s="43" t="s">
        <v>835</v>
      </c>
      <c r="F932" s="43">
        <v>17.12</v>
      </c>
    </row>
    <row r="933" spans="4:6" x14ac:dyDescent="0.25">
      <c r="D933" s="44" t="s">
        <v>110</v>
      </c>
      <c r="E933" s="44" t="s">
        <v>836</v>
      </c>
      <c r="F933" s="44">
        <v>6.0960000000000001</v>
      </c>
    </row>
    <row r="934" spans="4:6" x14ac:dyDescent="0.25">
      <c r="D934" s="43" t="s">
        <v>100</v>
      </c>
      <c r="E934" s="43" t="s">
        <v>101</v>
      </c>
      <c r="F934" s="43">
        <v>1114.2719999999999</v>
      </c>
    </row>
    <row r="935" spans="4:6" x14ac:dyDescent="0.25">
      <c r="D935" s="44" t="s">
        <v>116</v>
      </c>
      <c r="E935" s="44" t="s">
        <v>613</v>
      </c>
      <c r="F935" s="44">
        <v>32.400000000000006</v>
      </c>
    </row>
    <row r="936" spans="4:6" x14ac:dyDescent="0.25">
      <c r="D936" s="43" t="s">
        <v>102</v>
      </c>
      <c r="E936" s="43" t="s">
        <v>837</v>
      </c>
      <c r="F936" s="43">
        <v>540.56999999999994</v>
      </c>
    </row>
    <row r="937" spans="4:6" x14ac:dyDescent="0.25">
      <c r="D937" s="44" t="s">
        <v>110</v>
      </c>
      <c r="E937" s="44" t="s">
        <v>838</v>
      </c>
      <c r="F937" s="44">
        <v>167.76</v>
      </c>
    </row>
    <row r="938" spans="4:6" x14ac:dyDescent="0.25">
      <c r="D938" s="43" t="s">
        <v>100</v>
      </c>
      <c r="E938" s="43" t="s">
        <v>839</v>
      </c>
      <c r="F938" s="43">
        <v>393.16500000000002</v>
      </c>
    </row>
    <row r="939" spans="4:6" x14ac:dyDescent="0.25">
      <c r="D939" s="44" t="s">
        <v>104</v>
      </c>
      <c r="E939" s="44" t="s">
        <v>840</v>
      </c>
      <c r="F939" s="44">
        <v>516.48800000000006</v>
      </c>
    </row>
    <row r="940" spans="4:6" x14ac:dyDescent="0.25">
      <c r="D940" s="43" t="s">
        <v>104</v>
      </c>
      <c r="E940" s="43" t="s">
        <v>328</v>
      </c>
      <c r="F940" s="43">
        <v>1007.2320000000001</v>
      </c>
    </row>
    <row r="941" spans="4:6" x14ac:dyDescent="0.25">
      <c r="D941" s="44" t="s">
        <v>100</v>
      </c>
      <c r="E941" s="44" t="s">
        <v>841</v>
      </c>
      <c r="F941" s="44">
        <v>2065.3200000000002</v>
      </c>
    </row>
    <row r="942" spans="4:6" x14ac:dyDescent="0.25">
      <c r="D942" s="43" t="s">
        <v>116</v>
      </c>
      <c r="E942" s="43" t="s">
        <v>842</v>
      </c>
      <c r="F942" s="43">
        <v>15.552000000000003</v>
      </c>
    </row>
    <row r="943" spans="4:6" x14ac:dyDescent="0.25">
      <c r="D943" s="44" t="s">
        <v>116</v>
      </c>
      <c r="E943" s="44" t="s">
        <v>326</v>
      </c>
      <c r="F943" s="44">
        <v>25.344000000000001</v>
      </c>
    </row>
    <row r="944" spans="4:6" x14ac:dyDescent="0.25">
      <c r="D944" s="43" t="s">
        <v>104</v>
      </c>
      <c r="E944" s="43" t="s">
        <v>329</v>
      </c>
      <c r="F944" s="43">
        <v>25.472000000000001</v>
      </c>
    </row>
    <row r="945" spans="4:6" x14ac:dyDescent="0.25">
      <c r="D945" s="44" t="s">
        <v>106</v>
      </c>
      <c r="E945" s="44" t="s">
        <v>315</v>
      </c>
      <c r="F945" s="44">
        <v>27.168000000000003</v>
      </c>
    </row>
    <row r="946" spans="4:6" x14ac:dyDescent="0.25">
      <c r="D946" s="43" t="s">
        <v>94</v>
      </c>
      <c r="E946" s="43" t="s">
        <v>373</v>
      </c>
      <c r="F946" s="43">
        <v>78.852799999999988</v>
      </c>
    </row>
    <row r="947" spans="4:6" x14ac:dyDescent="0.25">
      <c r="D947" s="44" t="s">
        <v>102</v>
      </c>
      <c r="E947" s="44" t="s">
        <v>161</v>
      </c>
      <c r="F947" s="44">
        <v>173.79999999999998</v>
      </c>
    </row>
    <row r="948" spans="4:6" x14ac:dyDescent="0.25">
      <c r="D948" s="43" t="s">
        <v>108</v>
      </c>
      <c r="E948" s="43" t="s">
        <v>789</v>
      </c>
      <c r="F948" s="43">
        <v>29.592000000000002</v>
      </c>
    </row>
    <row r="949" spans="4:6" x14ac:dyDescent="0.25">
      <c r="D949" s="44" t="s">
        <v>110</v>
      </c>
      <c r="E949" s="44" t="s">
        <v>843</v>
      </c>
      <c r="F949" s="44">
        <v>4.7520000000000007</v>
      </c>
    </row>
    <row r="950" spans="4:6" x14ac:dyDescent="0.25">
      <c r="D950" s="43" t="s">
        <v>116</v>
      </c>
      <c r="E950" s="43" t="s">
        <v>844</v>
      </c>
      <c r="F950" s="43">
        <v>15.552000000000003</v>
      </c>
    </row>
    <row r="951" spans="4:6" x14ac:dyDescent="0.25">
      <c r="D951" s="44" t="s">
        <v>104</v>
      </c>
      <c r="E951" s="44" t="s">
        <v>845</v>
      </c>
      <c r="F951" s="44">
        <v>204.6</v>
      </c>
    </row>
    <row r="952" spans="4:6" x14ac:dyDescent="0.25">
      <c r="D952" s="43" t="s">
        <v>96</v>
      </c>
      <c r="E952" s="43" t="s">
        <v>336</v>
      </c>
      <c r="F952" s="43">
        <v>321.56799999999998</v>
      </c>
    </row>
    <row r="953" spans="4:6" x14ac:dyDescent="0.25">
      <c r="D953" s="44" t="s">
        <v>110</v>
      </c>
      <c r="E953" s="44" t="s">
        <v>846</v>
      </c>
      <c r="F953" s="44">
        <v>6.24</v>
      </c>
    </row>
    <row r="954" spans="4:6" x14ac:dyDescent="0.25">
      <c r="D954" s="43" t="s">
        <v>135</v>
      </c>
      <c r="E954" s="43" t="s">
        <v>569</v>
      </c>
      <c r="F954" s="43">
        <v>21.88</v>
      </c>
    </row>
    <row r="955" spans="4:6" x14ac:dyDescent="0.25">
      <c r="D955" s="44" t="s">
        <v>98</v>
      </c>
      <c r="E955" s="44" t="s">
        <v>847</v>
      </c>
      <c r="F955" s="44">
        <v>4.6079999999999997</v>
      </c>
    </row>
    <row r="956" spans="4:6" x14ac:dyDescent="0.25">
      <c r="D956" s="43" t="s">
        <v>98</v>
      </c>
      <c r="E956" s="43" t="s">
        <v>848</v>
      </c>
      <c r="F956" s="43">
        <v>9.82</v>
      </c>
    </row>
    <row r="957" spans="4:6" x14ac:dyDescent="0.25">
      <c r="D957" s="44" t="s">
        <v>106</v>
      </c>
      <c r="E957" s="44" t="s">
        <v>474</v>
      </c>
      <c r="F957" s="44">
        <v>35.97</v>
      </c>
    </row>
    <row r="958" spans="4:6" x14ac:dyDescent="0.25">
      <c r="D958" s="43" t="s">
        <v>116</v>
      </c>
      <c r="E958" s="43" t="s">
        <v>849</v>
      </c>
      <c r="F958" s="43">
        <v>12.96</v>
      </c>
    </row>
    <row r="959" spans="4:6" x14ac:dyDescent="0.25">
      <c r="D959" s="44" t="s">
        <v>116</v>
      </c>
      <c r="E959" s="44" t="s">
        <v>850</v>
      </c>
      <c r="F959" s="44">
        <v>191.6</v>
      </c>
    </row>
    <row r="960" spans="4:6" x14ac:dyDescent="0.25">
      <c r="D960" s="43" t="s">
        <v>98</v>
      </c>
      <c r="E960" s="43" t="s">
        <v>847</v>
      </c>
      <c r="F960" s="43">
        <v>8.64</v>
      </c>
    </row>
    <row r="961" spans="4:6" x14ac:dyDescent="0.25">
      <c r="D961" s="44" t="s">
        <v>102</v>
      </c>
      <c r="E961" s="44" t="s">
        <v>851</v>
      </c>
      <c r="F961" s="44">
        <v>501.81000000000006</v>
      </c>
    </row>
    <row r="962" spans="4:6" x14ac:dyDescent="0.25">
      <c r="D962" s="43" t="s">
        <v>104</v>
      </c>
      <c r="E962" s="43" t="s">
        <v>852</v>
      </c>
      <c r="F962" s="43">
        <v>127.10400000000001</v>
      </c>
    </row>
    <row r="963" spans="4:6" x14ac:dyDescent="0.25">
      <c r="D963" s="44" t="s">
        <v>108</v>
      </c>
      <c r="E963" s="44" t="s">
        <v>408</v>
      </c>
      <c r="F963" s="44">
        <v>124.19999999999999</v>
      </c>
    </row>
    <row r="964" spans="4:6" x14ac:dyDescent="0.25">
      <c r="D964" s="43" t="s">
        <v>110</v>
      </c>
      <c r="E964" s="43" t="s">
        <v>684</v>
      </c>
      <c r="F964" s="43">
        <v>18.588000000000005</v>
      </c>
    </row>
    <row r="965" spans="4:6" x14ac:dyDescent="0.25">
      <c r="D965" s="44" t="s">
        <v>98</v>
      </c>
      <c r="E965" s="44" t="s">
        <v>406</v>
      </c>
      <c r="F965" s="44">
        <v>30.072000000000003</v>
      </c>
    </row>
    <row r="966" spans="4:6" x14ac:dyDescent="0.25">
      <c r="D966" s="43" t="s">
        <v>108</v>
      </c>
      <c r="E966" s="43" t="s">
        <v>564</v>
      </c>
      <c r="F966" s="43">
        <v>160.92999999999998</v>
      </c>
    </row>
    <row r="967" spans="4:6" x14ac:dyDescent="0.25">
      <c r="D967" s="44" t="s">
        <v>110</v>
      </c>
      <c r="E967" s="44" t="s">
        <v>455</v>
      </c>
      <c r="F967" s="44">
        <v>75.792000000000002</v>
      </c>
    </row>
    <row r="968" spans="4:6" x14ac:dyDescent="0.25">
      <c r="D968" s="43" t="s">
        <v>110</v>
      </c>
      <c r="E968" s="43" t="s">
        <v>853</v>
      </c>
      <c r="F968" s="43">
        <v>1.0800000000000003</v>
      </c>
    </row>
    <row r="969" spans="4:6" x14ac:dyDescent="0.25">
      <c r="D969" s="44" t="s">
        <v>263</v>
      </c>
      <c r="E969" s="44" t="s">
        <v>264</v>
      </c>
      <c r="F969" s="44">
        <v>3059.982</v>
      </c>
    </row>
    <row r="970" spans="4:6" x14ac:dyDescent="0.25">
      <c r="D970" s="43" t="s">
        <v>110</v>
      </c>
      <c r="E970" s="43" t="s">
        <v>622</v>
      </c>
      <c r="F970" s="43">
        <v>3.2820000000000005</v>
      </c>
    </row>
    <row r="971" spans="4:6" x14ac:dyDescent="0.25">
      <c r="D971" s="44" t="s">
        <v>116</v>
      </c>
      <c r="E971" s="44" t="s">
        <v>854</v>
      </c>
      <c r="F971" s="44">
        <v>34.019999999999996</v>
      </c>
    </row>
    <row r="972" spans="4:6" x14ac:dyDescent="0.25">
      <c r="D972" s="43" t="s">
        <v>96</v>
      </c>
      <c r="E972" s="43" t="s">
        <v>739</v>
      </c>
      <c r="F972" s="43">
        <v>599.29200000000003</v>
      </c>
    </row>
    <row r="973" spans="4:6" x14ac:dyDescent="0.25">
      <c r="D973" s="44" t="s">
        <v>106</v>
      </c>
      <c r="E973" s="44" t="s">
        <v>855</v>
      </c>
      <c r="F973" s="44">
        <v>3.3920000000000003</v>
      </c>
    </row>
    <row r="974" spans="4:6" x14ac:dyDescent="0.25">
      <c r="D974" s="43" t="s">
        <v>108</v>
      </c>
      <c r="E974" s="43" t="s">
        <v>856</v>
      </c>
      <c r="F974" s="43">
        <v>559.98400000000004</v>
      </c>
    </row>
    <row r="975" spans="4:6" x14ac:dyDescent="0.25">
      <c r="D975" s="44" t="s">
        <v>96</v>
      </c>
      <c r="E975" s="44" t="s">
        <v>764</v>
      </c>
      <c r="F975" s="44">
        <v>603.91999999999996</v>
      </c>
    </row>
    <row r="976" spans="4:6" x14ac:dyDescent="0.25">
      <c r="D976" s="43" t="s">
        <v>98</v>
      </c>
      <c r="E976" s="43" t="s">
        <v>741</v>
      </c>
      <c r="F976" s="43">
        <v>7.9680000000000009</v>
      </c>
    </row>
    <row r="977" spans="4:6" x14ac:dyDescent="0.25">
      <c r="D977" s="44" t="s">
        <v>135</v>
      </c>
      <c r="E977" s="44" t="s">
        <v>857</v>
      </c>
      <c r="F977" s="44">
        <v>27.968000000000004</v>
      </c>
    </row>
    <row r="978" spans="4:6" x14ac:dyDescent="0.25">
      <c r="D978" s="43" t="s">
        <v>263</v>
      </c>
      <c r="E978" s="43" t="s">
        <v>858</v>
      </c>
      <c r="F978" s="43">
        <v>336.51</v>
      </c>
    </row>
    <row r="979" spans="4:6" x14ac:dyDescent="0.25">
      <c r="D979" s="44" t="s">
        <v>110</v>
      </c>
      <c r="E979" s="44" t="s">
        <v>859</v>
      </c>
      <c r="F979" s="44">
        <v>1.1119999999999997</v>
      </c>
    </row>
    <row r="980" spans="4:6" x14ac:dyDescent="0.25">
      <c r="D980" s="43" t="s">
        <v>104</v>
      </c>
      <c r="E980" s="43" t="s">
        <v>678</v>
      </c>
      <c r="F980" s="43">
        <v>520.05000000000007</v>
      </c>
    </row>
    <row r="981" spans="4:6" x14ac:dyDescent="0.25">
      <c r="D981" s="44" t="s">
        <v>106</v>
      </c>
      <c r="E981" s="44" t="s">
        <v>860</v>
      </c>
      <c r="F981" s="44">
        <v>17.97</v>
      </c>
    </row>
    <row r="982" spans="4:6" x14ac:dyDescent="0.25">
      <c r="D982" s="43" t="s">
        <v>96</v>
      </c>
      <c r="E982" s="43" t="s">
        <v>391</v>
      </c>
      <c r="F982" s="43">
        <v>1166.92</v>
      </c>
    </row>
    <row r="983" spans="4:6" x14ac:dyDescent="0.25">
      <c r="D983" s="44" t="s">
        <v>110</v>
      </c>
      <c r="E983" s="44" t="s">
        <v>726</v>
      </c>
      <c r="F983" s="44">
        <v>14.624000000000002</v>
      </c>
    </row>
    <row r="984" spans="4:6" x14ac:dyDescent="0.25">
      <c r="D984" s="43" t="s">
        <v>158</v>
      </c>
      <c r="E984" s="43" t="s">
        <v>370</v>
      </c>
      <c r="F984" s="43">
        <v>10.23</v>
      </c>
    </row>
    <row r="985" spans="4:6" x14ac:dyDescent="0.25">
      <c r="D985" s="44" t="s">
        <v>116</v>
      </c>
      <c r="E985" s="44" t="s">
        <v>861</v>
      </c>
      <c r="F985" s="44">
        <v>154.9</v>
      </c>
    </row>
    <row r="986" spans="4:6" x14ac:dyDescent="0.25">
      <c r="D986" s="43" t="s">
        <v>110</v>
      </c>
      <c r="E986" s="43" t="s">
        <v>862</v>
      </c>
      <c r="F986" s="43">
        <v>2715.9300000000003</v>
      </c>
    </row>
    <row r="987" spans="4:6" x14ac:dyDescent="0.25">
      <c r="D987" s="44" t="s">
        <v>108</v>
      </c>
      <c r="E987" s="44" t="s">
        <v>863</v>
      </c>
      <c r="F987" s="44">
        <v>617.97</v>
      </c>
    </row>
    <row r="988" spans="4:6" x14ac:dyDescent="0.25">
      <c r="D988" s="43" t="s">
        <v>135</v>
      </c>
      <c r="E988" s="43" t="s">
        <v>864</v>
      </c>
      <c r="F988" s="43">
        <v>10.67</v>
      </c>
    </row>
    <row r="989" spans="4:6" x14ac:dyDescent="0.25">
      <c r="D989" s="44" t="s">
        <v>102</v>
      </c>
      <c r="E989" s="44" t="s">
        <v>865</v>
      </c>
      <c r="F989" s="44">
        <v>36.630000000000003</v>
      </c>
    </row>
    <row r="990" spans="4:6" x14ac:dyDescent="0.25">
      <c r="D990" s="43" t="s">
        <v>104</v>
      </c>
      <c r="E990" s="43" t="s">
        <v>866</v>
      </c>
      <c r="F990" s="43">
        <v>24.1</v>
      </c>
    </row>
    <row r="991" spans="4:6" x14ac:dyDescent="0.25">
      <c r="D991" s="44" t="s">
        <v>104</v>
      </c>
      <c r="E991" s="44" t="s">
        <v>390</v>
      </c>
      <c r="F991" s="44">
        <v>33.11</v>
      </c>
    </row>
    <row r="992" spans="4:6" x14ac:dyDescent="0.25">
      <c r="D992" s="43" t="s">
        <v>106</v>
      </c>
      <c r="E992" s="43" t="s">
        <v>768</v>
      </c>
      <c r="F992" s="43">
        <v>44.02</v>
      </c>
    </row>
    <row r="993" spans="4:6" x14ac:dyDescent="0.25">
      <c r="D993" s="44" t="s">
        <v>130</v>
      </c>
      <c r="E993" s="44" t="s">
        <v>867</v>
      </c>
      <c r="F993" s="44">
        <v>2309.65</v>
      </c>
    </row>
    <row r="994" spans="4:6" x14ac:dyDescent="0.25">
      <c r="D994" s="43" t="s">
        <v>100</v>
      </c>
      <c r="E994" s="43" t="s">
        <v>365</v>
      </c>
      <c r="F994" s="43">
        <v>1090.7819999999999</v>
      </c>
    </row>
    <row r="995" spans="4:6" x14ac:dyDescent="0.25">
      <c r="D995" s="44" t="s">
        <v>116</v>
      </c>
      <c r="E995" s="44" t="s">
        <v>849</v>
      </c>
      <c r="F995" s="44">
        <v>19.440000000000001</v>
      </c>
    </row>
    <row r="996" spans="4:6" x14ac:dyDescent="0.25">
      <c r="D996" s="43" t="s">
        <v>102</v>
      </c>
      <c r="E996" s="43" t="s">
        <v>868</v>
      </c>
      <c r="F996" s="43">
        <v>484.65000000000003</v>
      </c>
    </row>
    <row r="997" spans="4:6" x14ac:dyDescent="0.25">
      <c r="D997" s="44" t="s">
        <v>116</v>
      </c>
      <c r="E997" s="44" t="s">
        <v>796</v>
      </c>
      <c r="F997" s="44">
        <v>115.29600000000001</v>
      </c>
    </row>
    <row r="998" spans="4:6" x14ac:dyDescent="0.25">
      <c r="D998" s="43" t="s">
        <v>135</v>
      </c>
      <c r="E998" s="43" t="s">
        <v>217</v>
      </c>
      <c r="F998" s="43">
        <v>7.080000000000001</v>
      </c>
    </row>
    <row r="999" spans="4:6" x14ac:dyDescent="0.25">
      <c r="D999" s="44" t="s">
        <v>110</v>
      </c>
      <c r="E999" s="44" t="s">
        <v>869</v>
      </c>
      <c r="F999" s="44">
        <v>4.4009999999999998</v>
      </c>
    </row>
    <row r="1000" spans="4:6" x14ac:dyDescent="0.25">
      <c r="D1000" s="43" t="s">
        <v>116</v>
      </c>
      <c r="E1000" s="43" t="s">
        <v>524</v>
      </c>
      <c r="F1000" s="43">
        <v>44.75</v>
      </c>
    </row>
    <row r="1001" spans="4:6" x14ac:dyDescent="0.25">
      <c r="D1001" s="44" t="s">
        <v>108</v>
      </c>
      <c r="E1001" s="44" t="s">
        <v>268</v>
      </c>
      <c r="F1001" s="44">
        <v>95.984000000000009</v>
      </c>
    </row>
    <row r="1002" spans="4:6" x14ac:dyDescent="0.25">
      <c r="D1002" s="43" t="s">
        <v>104</v>
      </c>
      <c r="E1002" s="43" t="s">
        <v>870</v>
      </c>
      <c r="F1002" s="43">
        <v>151.72</v>
      </c>
    </row>
    <row r="1003" spans="4:6" x14ac:dyDescent="0.25">
      <c r="D1003" s="44" t="s">
        <v>104</v>
      </c>
      <c r="E1003" s="44" t="s">
        <v>134</v>
      </c>
      <c r="F1003" s="44">
        <v>155.25</v>
      </c>
    </row>
    <row r="1004" spans="4:6" x14ac:dyDescent="0.25">
      <c r="D1004" s="43" t="s">
        <v>102</v>
      </c>
      <c r="E1004" s="43" t="s">
        <v>871</v>
      </c>
      <c r="F1004" s="43">
        <v>14.03</v>
      </c>
    </row>
    <row r="1005" spans="4:6" x14ac:dyDescent="0.25">
      <c r="D1005" s="44" t="s">
        <v>100</v>
      </c>
      <c r="E1005" s="44" t="s">
        <v>317</v>
      </c>
      <c r="F1005" s="44">
        <v>1618.37</v>
      </c>
    </row>
    <row r="1006" spans="4:6" x14ac:dyDescent="0.25">
      <c r="D1006" s="43" t="s">
        <v>130</v>
      </c>
      <c r="E1006" s="43" t="s">
        <v>872</v>
      </c>
      <c r="F1006" s="43">
        <v>99.6</v>
      </c>
    </row>
    <row r="1007" spans="4:6" x14ac:dyDescent="0.25">
      <c r="D1007" s="44" t="s">
        <v>116</v>
      </c>
      <c r="E1007" s="44" t="s">
        <v>367</v>
      </c>
      <c r="F1007" s="44">
        <v>32.400000000000006</v>
      </c>
    </row>
    <row r="1008" spans="4:6" x14ac:dyDescent="0.25">
      <c r="D1008" s="43" t="s">
        <v>104</v>
      </c>
      <c r="E1008" s="43" t="s">
        <v>873</v>
      </c>
      <c r="F1008" s="43">
        <v>13.96</v>
      </c>
    </row>
    <row r="1009" spans="4:6" x14ac:dyDescent="0.25">
      <c r="D1009" s="44" t="s">
        <v>104</v>
      </c>
      <c r="E1009" s="44" t="s">
        <v>791</v>
      </c>
      <c r="F1009" s="44">
        <v>155.82</v>
      </c>
    </row>
    <row r="1010" spans="4:6" x14ac:dyDescent="0.25">
      <c r="D1010" s="45" t="s">
        <v>108</v>
      </c>
      <c r="E1010" s="45" t="s">
        <v>874</v>
      </c>
      <c r="F1010" s="45">
        <v>124.94999999999999</v>
      </c>
    </row>
  </sheetData>
  <mergeCells count="1">
    <mergeCell ref="H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FC0D-30E2-45DF-B114-A563CFAA9D1C}">
  <dimension ref="A1:P49"/>
  <sheetViews>
    <sheetView tabSelected="1" workbookViewId="0">
      <selection activeCell="E16" sqref="E16"/>
    </sheetView>
  </sheetViews>
  <sheetFormatPr defaultRowHeight="15" x14ac:dyDescent="0.25"/>
  <sheetData>
    <row r="1" spans="1:5" x14ac:dyDescent="0.25">
      <c r="A1" t="s">
        <v>69</v>
      </c>
    </row>
    <row r="4" spans="1:5" x14ac:dyDescent="0.25">
      <c r="E4" t="s">
        <v>898</v>
      </c>
    </row>
    <row r="5" spans="1:5" x14ac:dyDescent="0.25">
      <c r="E5" s="76">
        <f>SUM(E20:E44)</f>
        <v>1175</v>
      </c>
    </row>
    <row r="9" spans="1:5" x14ac:dyDescent="0.25">
      <c r="E9" t="s">
        <v>899</v>
      </c>
    </row>
    <row r="10" spans="1:5" x14ac:dyDescent="0.25">
      <c r="E10" s="77">
        <f>SUM(F20:F44)</f>
        <v>235.00000000000003</v>
      </c>
    </row>
    <row r="14" spans="1:5" x14ac:dyDescent="0.25">
      <c r="E14" t="s">
        <v>901</v>
      </c>
    </row>
    <row r="15" spans="1:5" x14ac:dyDescent="0.25">
      <c r="E15">
        <f>COUNTIFS(D20:D49,A1)</f>
        <v>30</v>
      </c>
    </row>
    <row r="20" spans="2:16" x14ac:dyDescent="0.25">
      <c r="B20" cm="1">
        <f t="array" ref="B20:P49">_xlfn._xlws.FILTER('9'!A:O,'9'!C:C=Hend!A1,"not found")</f>
        <v>43467</v>
      </c>
      <c r="C20">
        <v>7</v>
      </c>
      <c r="D20" t="str">
        <v>Hend</v>
      </c>
      <c r="E20">
        <v>54</v>
      </c>
      <c r="F20">
        <v>10.8</v>
      </c>
      <c r="G20">
        <v>29.700000000000003</v>
      </c>
      <c r="H20">
        <v>13.5</v>
      </c>
      <c r="I20">
        <v>81</v>
      </c>
      <c r="J20">
        <v>16.2</v>
      </c>
      <c r="K20">
        <v>8.1</v>
      </c>
      <c r="L20">
        <v>44.550000000000004</v>
      </c>
      <c r="M20">
        <v>8.1</v>
      </c>
      <c r="N20">
        <v>12.15</v>
      </c>
      <c r="O20">
        <v>5.6700000000000008</v>
      </c>
      <c r="P20">
        <v>10.530000000000001</v>
      </c>
    </row>
    <row r="21" spans="2:16" x14ac:dyDescent="0.25">
      <c r="B21">
        <v>43469</v>
      </c>
      <c r="C21">
        <v>7</v>
      </c>
      <c r="D21" t="str">
        <v>Hend</v>
      </c>
      <c r="E21">
        <v>48</v>
      </c>
      <c r="F21">
        <v>9.6000000000000014</v>
      </c>
      <c r="G21">
        <v>26.400000000000002</v>
      </c>
      <c r="H21">
        <v>12</v>
      </c>
      <c r="I21">
        <v>72</v>
      </c>
      <c r="J21">
        <v>14.399999999999999</v>
      </c>
      <c r="K21">
        <v>7.1999999999999993</v>
      </c>
      <c r="L21">
        <v>39.6</v>
      </c>
      <c r="M21">
        <v>7.2</v>
      </c>
      <c r="N21">
        <v>10.799999999999999</v>
      </c>
      <c r="O21">
        <v>5.0400000000000009</v>
      </c>
      <c r="P21">
        <v>9.36</v>
      </c>
    </row>
    <row r="22" spans="2:16" x14ac:dyDescent="0.25">
      <c r="B22">
        <v>43472</v>
      </c>
      <c r="C22">
        <v>7</v>
      </c>
      <c r="D22" t="str">
        <v>Hend</v>
      </c>
      <c r="E22">
        <v>60</v>
      </c>
      <c r="F22">
        <v>12</v>
      </c>
      <c r="G22">
        <v>33</v>
      </c>
      <c r="H22">
        <v>15</v>
      </c>
      <c r="I22">
        <v>90</v>
      </c>
      <c r="J22">
        <v>18</v>
      </c>
      <c r="K22">
        <v>9</v>
      </c>
      <c r="L22">
        <v>49.500000000000007</v>
      </c>
      <c r="M22">
        <v>9</v>
      </c>
      <c r="N22">
        <v>13.5</v>
      </c>
      <c r="O22">
        <v>6.3000000000000007</v>
      </c>
      <c r="P22">
        <v>11.700000000000001</v>
      </c>
    </row>
    <row r="23" spans="2:16" x14ac:dyDescent="0.25">
      <c r="B23">
        <v>43474</v>
      </c>
      <c r="C23">
        <v>7</v>
      </c>
      <c r="D23" t="str">
        <v>Hend</v>
      </c>
      <c r="E23">
        <v>36</v>
      </c>
      <c r="F23">
        <v>7.2</v>
      </c>
      <c r="G23">
        <v>19.8</v>
      </c>
      <c r="H23">
        <v>9</v>
      </c>
      <c r="I23">
        <v>54</v>
      </c>
      <c r="J23">
        <v>10.799999999999999</v>
      </c>
      <c r="K23">
        <v>5.3999999999999995</v>
      </c>
      <c r="L23">
        <v>29.700000000000003</v>
      </c>
      <c r="M23">
        <v>5.4</v>
      </c>
      <c r="N23">
        <v>8.1</v>
      </c>
      <c r="O23">
        <v>3.7800000000000002</v>
      </c>
      <c r="P23">
        <v>7.0200000000000005</v>
      </c>
    </row>
    <row r="24" spans="2:16" x14ac:dyDescent="0.25">
      <c r="B24">
        <v>43479</v>
      </c>
      <c r="C24">
        <v>7</v>
      </c>
      <c r="D24" t="str">
        <v>Hend</v>
      </c>
      <c r="E24">
        <v>45</v>
      </c>
      <c r="F24">
        <v>9</v>
      </c>
      <c r="G24">
        <v>24.750000000000004</v>
      </c>
      <c r="H24">
        <v>11.25</v>
      </c>
      <c r="I24">
        <v>67.5</v>
      </c>
      <c r="J24">
        <v>13.5</v>
      </c>
      <c r="K24">
        <v>6.75</v>
      </c>
      <c r="L24">
        <v>37.125</v>
      </c>
      <c r="M24">
        <v>6.75</v>
      </c>
      <c r="N24">
        <v>10.125</v>
      </c>
      <c r="O24">
        <v>4.7250000000000005</v>
      </c>
      <c r="P24">
        <v>8.7750000000000004</v>
      </c>
    </row>
    <row r="25" spans="2:16" x14ac:dyDescent="0.25">
      <c r="B25">
        <v>43475</v>
      </c>
      <c r="C25">
        <v>7</v>
      </c>
      <c r="D25" t="str">
        <v>Hend</v>
      </c>
      <c r="E25">
        <v>46</v>
      </c>
      <c r="F25">
        <v>9.2000000000000011</v>
      </c>
      <c r="G25">
        <v>25.3</v>
      </c>
      <c r="H25">
        <v>11.5</v>
      </c>
      <c r="I25">
        <v>69</v>
      </c>
      <c r="J25">
        <v>13.799999999999999</v>
      </c>
      <c r="K25">
        <v>6.8999999999999995</v>
      </c>
      <c r="L25">
        <v>37.950000000000003</v>
      </c>
      <c r="M25">
        <v>6.9</v>
      </c>
      <c r="N25">
        <v>10.35</v>
      </c>
      <c r="O25">
        <v>4.83</v>
      </c>
      <c r="P25">
        <v>8.9700000000000006</v>
      </c>
    </row>
    <row r="26" spans="2:16" x14ac:dyDescent="0.25">
      <c r="B26">
        <v>43486</v>
      </c>
      <c r="C26">
        <v>7</v>
      </c>
      <c r="D26" t="str">
        <v>Hend</v>
      </c>
      <c r="E26">
        <v>70</v>
      </c>
      <c r="F26">
        <v>14</v>
      </c>
      <c r="G26">
        <v>38.5</v>
      </c>
      <c r="H26">
        <v>17.5</v>
      </c>
      <c r="I26">
        <v>105</v>
      </c>
      <c r="J26">
        <v>21</v>
      </c>
      <c r="K26">
        <v>10.5</v>
      </c>
      <c r="L26">
        <v>57.750000000000007</v>
      </c>
      <c r="M26">
        <v>10.5</v>
      </c>
      <c r="N26">
        <v>15.75</v>
      </c>
      <c r="O26">
        <v>7.3500000000000005</v>
      </c>
      <c r="P26">
        <v>13.65</v>
      </c>
    </row>
    <row r="27" spans="2:16" x14ac:dyDescent="0.25">
      <c r="B27">
        <v>43490</v>
      </c>
      <c r="C27">
        <v>7</v>
      </c>
      <c r="D27" t="str">
        <v>Hend</v>
      </c>
      <c r="E27">
        <v>65</v>
      </c>
      <c r="F27">
        <v>13</v>
      </c>
      <c r="G27">
        <v>35.75</v>
      </c>
      <c r="H27">
        <v>16.25</v>
      </c>
      <c r="I27">
        <v>97.5</v>
      </c>
      <c r="J27">
        <v>19.5</v>
      </c>
      <c r="K27">
        <v>9.75</v>
      </c>
      <c r="L27">
        <v>53.625000000000007</v>
      </c>
      <c r="M27">
        <v>9.75</v>
      </c>
      <c r="N27">
        <v>14.625</v>
      </c>
      <c r="O27">
        <v>6.8250000000000011</v>
      </c>
      <c r="P27">
        <v>12.675000000000001</v>
      </c>
    </row>
    <row r="28" spans="2:16" x14ac:dyDescent="0.25">
      <c r="B28">
        <v>43487</v>
      </c>
      <c r="C28">
        <v>7</v>
      </c>
      <c r="D28" t="str">
        <v>Hend</v>
      </c>
      <c r="E28">
        <v>15</v>
      </c>
      <c r="F28">
        <v>3</v>
      </c>
      <c r="G28">
        <v>8.25</v>
      </c>
      <c r="H28">
        <v>3.75</v>
      </c>
      <c r="I28">
        <v>22.5</v>
      </c>
      <c r="J28">
        <v>4.5</v>
      </c>
      <c r="K28">
        <v>2.25</v>
      </c>
      <c r="L28">
        <v>12.375000000000002</v>
      </c>
      <c r="M28">
        <v>2.25</v>
      </c>
      <c r="N28">
        <v>3.375</v>
      </c>
      <c r="O28">
        <v>1.5750000000000002</v>
      </c>
      <c r="P28">
        <v>2.9250000000000003</v>
      </c>
    </row>
    <row r="29" spans="2:16" x14ac:dyDescent="0.25">
      <c r="B29">
        <v>43502</v>
      </c>
      <c r="C29">
        <v>7</v>
      </c>
      <c r="D29" t="str">
        <v>Hend</v>
      </c>
      <c r="E29">
        <v>60</v>
      </c>
      <c r="F29">
        <v>12</v>
      </c>
      <c r="G29">
        <v>33</v>
      </c>
      <c r="H29">
        <v>15</v>
      </c>
      <c r="I29">
        <v>90</v>
      </c>
      <c r="J29">
        <v>18</v>
      </c>
      <c r="K29">
        <v>9</v>
      </c>
      <c r="L29">
        <v>49.500000000000007</v>
      </c>
      <c r="M29">
        <v>9</v>
      </c>
      <c r="N29">
        <v>13.5</v>
      </c>
      <c r="O29">
        <v>6.3000000000000007</v>
      </c>
      <c r="P29">
        <v>11.700000000000001</v>
      </c>
    </row>
    <row r="30" spans="2:16" x14ac:dyDescent="0.25">
      <c r="B30">
        <v>43479</v>
      </c>
      <c r="C30">
        <v>7</v>
      </c>
      <c r="D30" t="str">
        <v>Hend</v>
      </c>
      <c r="E30">
        <v>50</v>
      </c>
      <c r="F30">
        <v>10</v>
      </c>
      <c r="G30">
        <v>27.500000000000004</v>
      </c>
      <c r="H30">
        <v>12.5</v>
      </c>
      <c r="I30">
        <v>75</v>
      </c>
      <c r="J30">
        <v>15</v>
      </c>
      <c r="K30">
        <v>7.5</v>
      </c>
      <c r="L30">
        <v>41.25</v>
      </c>
      <c r="M30">
        <v>7.5</v>
      </c>
      <c r="N30">
        <v>11.25</v>
      </c>
      <c r="O30">
        <v>5.2500000000000009</v>
      </c>
      <c r="P30">
        <v>9.75</v>
      </c>
    </row>
    <row r="31" spans="2:16" x14ac:dyDescent="0.25">
      <c r="B31">
        <v>43504</v>
      </c>
      <c r="C31">
        <v>7</v>
      </c>
      <c r="D31" t="str">
        <v>Hend</v>
      </c>
      <c r="E31">
        <v>45</v>
      </c>
      <c r="F31">
        <v>9</v>
      </c>
      <c r="G31">
        <v>24.750000000000004</v>
      </c>
      <c r="H31">
        <v>11.25</v>
      </c>
      <c r="I31">
        <v>67.5</v>
      </c>
      <c r="J31">
        <v>13.5</v>
      </c>
      <c r="K31">
        <v>6.75</v>
      </c>
      <c r="L31">
        <v>37.125</v>
      </c>
      <c r="M31">
        <v>6.75</v>
      </c>
      <c r="N31">
        <v>10.125</v>
      </c>
      <c r="O31">
        <v>4.7250000000000005</v>
      </c>
      <c r="P31">
        <v>8.7750000000000004</v>
      </c>
    </row>
    <row r="32" spans="2:16" x14ac:dyDescent="0.25">
      <c r="B32">
        <v>43511</v>
      </c>
      <c r="C32">
        <v>7</v>
      </c>
      <c r="D32" t="str">
        <v>Hend</v>
      </c>
      <c r="E32">
        <v>23</v>
      </c>
      <c r="F32">
        <v>4.6000000000000005</v>
      </c>
      <c r="G32">
        <v>12.65</v>
      </c>
      <c r="H32">
        <v>5.75</v>
      </c>
      <c r="I32">
        <v>34.5</v>
      </c>
      <c r="J32">
        <v>6.8999999999999995</v>
      </c>
      <c r="K32">
        <v>3.4499999999999997</v>
      </c>
      <c r="L32">
        <v>18.975000000000001</v>
      </c>
      <c r="M32">
        <v>3.45</v>
      </c>
      <c r="N32">
        <v>5.1749999999999998</v>
      </c>
      <c r="O32">
        <v>2.415</v>
      </c>
      <c r="P32">
        <v>4.4850000000000003</v>
      </c>
    </row>
    <row r="33" spans="2:16" x14ac:dyDescent="0.25">
      <c r="B33">
        <v>43514</v>
      </c>
      <c r="C33">
        <v>7</v>
      </c>
      <c r="D33" t="str">
        <v>Hend</v>
      </c>
      <c r="E33">
        <v>63</v>
      </c>
      <c r="F33">
        <v>12.600000000000001</v>
      </c>
      <c r="G33">
        <v>34.650000000000006</v>
      </c>
      <c r="H33">
        <v>15.75</v>
      </c>
      <c r="I33">
        <v>94.5</v>
      </c>
      <c r="J33">
        <v>18.899999999999999</v>
      </c>
      <c r="K33">
        <v>9.4499999999999993</v>
      </c>
      <c r="L33">
        <v>51.975000000000001</v>
      </c>
      <c r="M33">
        <v>9.4500000000000011</v>
      </c>
      <c r="N33">
        <v>14.174999999999999</v>
      </c>
      <c r="O33">
        <v>6.6150000000000002</v>
      </c>
      <c r="P33">
        <v>12.285</v>
      </c>
    </row>
    <row r="34" spans="2:16" x14ac:dyDescent="0.25">
      <c r="B34">
        <v>43517</v>
      </c>
      <c r="C34">
        <v>7</v>
      </c>
      <c r="D34" t="str">
        <v>Hend</v>
      </c>
      <c r="E34">
        <v>30</v>
      </c>
      <c r="F34">
        <v>6</v>
      </c>
      <c r="G34">
        <v>16.5</v>
      </c>
      <c r="H34">
        <v>7.5</v>
      </c>
      <c r="I34">
        <v>45</v>
      </c>
      <c r="J34">
        <v>9</v>
      </c>
      <c r="K34">
        <v>4.5</v>
      </c>
      <c r="L34">
        <v>24.750000000000004</v>
      </c>
      <c r="M34">
        <v>4.5</v>
      </c>
      <c r="N34">
        <v>6.75</v>
      </c>
      <c r="O34">
        <v>3.1500000000000004</v>
      </c>
      <c r="P34">
        <v>5.8500000000000005</v>
      </c>
    </row>
    <row r="35" spans="2:16" x14ac:dyDescent="0.25">
      <c r="B35">
        <v>43489</v>
      </c>
      <c r="C35">
        <v>7</v>
      </c>
      <c r="D35" t="str">
        <v>Hend</v>
      </c>
      <c r="E35">
        <v>60</v>
      </c>
      <c r="F35">
        <v>12</v>
      </c>
      <c r="G35">
        <v>33</v>
      </c>
      <c r="H35">
        <v>15</v>
      </c>
      <c r="I35">
        <v>90</v>
      </c>
      <c r="J35">
        <v>18</v>
      </c>
      <c r="K35">
        <v>9</v>
      </c>
      <c r="L35">
        <v>49.500000000000007</v>
      </c>
      <c r="M35">
        <v>9</v>
      </c>
      <c r="N35">
        <v>13.5</v>
      </c>
      <c r="O35">
        <v>6.3000000000000007</v>
      </c>
      <c r="P35">
        <v>11.700000000000001</v>
      </c>
    </row>
    <row r="36" spans="2:16" x14ac:dyDescent="0.25">
      <c r="B36">
        <v>43522</v>
      </c>
      <c r="C36">
        <v>7</v>
      </c>
      <c r="D36" t="str">
        <v>Hend</v>
      </c>
      <c r="E36">
        <v>65</v>
      </c>
      <c r="F36">
        <v>13</v>
      </c>
      <c r="G36">
        <v>35.75</v>
      </c>
      <c r="H36">
        <v>16.25</v>
      </c>
      <c r="I36">
        <v>97.5</v>
      </c>
      <c r="J36">
        <v>19.5</v>
      </c>
      <c r="K36">
        <v>9.75</v>
      </c>
      <c r="L36">
        <v>53.625000000000007</v>
      </c>
      <c r="M36">
        <v>9.75</v>
      </c>
      <c r="N36">
        <v>14.625</v>
      </c>
      <c r="O36">
        <v>6.8250000000000011</v>
      </c>
      <c r="P36">
        <v>12.675000000000001</v>
      </c>
    </row>
    <row r="37" spans="2:16" x14ac:dyDescent="0.25">
      <c r="B37">
        <v>43528</v>
      </c>
      <c r="C37">
        <v>7</v>
      </c>
      <c r="D37" t="str">
        <v>Hend</v>
      </c>
      <c r="E37">
        <v>44</v>
      </c>
      <c r="F37">
        <v>8.8000000000000007</v>
      </c>
      <c r="G37">
        <v>24.200000000000003</v>
      </c>
      <c r="H37">
        <v>11</v>
      </c>
      <c r="I37">
        <v>66</v>
      </c>
      <c r="J37">
        <v>13.2</v>
      </c>
      <c r="K37">
        <v>6.6</v>
      </c>
      <c r="L37">
        <v>36.300000000000004</v>
      </c>
      <c r="M37">
        <v>6.6000000000000005</v>
      </c>
      <c r="N37">
        <v>9.9</v>
      </c>
      <c r="O37">
        <v>4.62</v>
      </c>
      <c r="P37">
        <v>8.58</v>
      </c>
    </row>
    <row r="38" spans="2:16" x14ac:dyDescent="0.25">
      <c r="B38">
        <v>43532</v>
      </c>
      <c r="C38">
        <v>7</v>
      </c>
      <c r="D38" t="str">
        <v>Hend</v>
      </c>
      <c r="E38">
        <v>74</v>
      </c>
      <c r="F38">
        <v>14.8</v>
      </c>
      <c r="G38">
        <v>40.700000000000003</v>
      </c>
      <c r="H38">
        <v>18.5</v>
      </c>
      <c r="I38">
        <v>111</v>
      </c>
      <c r="J38">
        <v>22.2</v>
      </c>
      <c r="K38">
        <v>11.1</v>
      </c>
      <c r="L38">
        <v>61.050000000000004</v>
      </c>
      <c r="M38">
        <v>11.100000000000001</v>
      </c>
      <c r="N38">
        <v>16.649999999999999</v>
      </c>
      <c r="O38">
        <v>7.7700000000000005</v>
      </c>
      <c r="P38">
        <v>14.43</v>
      </c>
    </row>
    <row r="39" spans="2:16" x14ac:dyDescent="0.25">
      <c r="B39">
        <v>43504</v>
      </c>
      <c r="C39">
        <v>7</v>
      </c>
      <c r="D39" t="str">
        <v>Hend</v>
      </c>
      <c r="E39">
        <v>56</v>
      </c>
      <c r="F39">
        <v>11.200000000000001</v>
      </c>
      <c r="G39">
        <v>30.800000000000004</v>
      </c>
      <c r="H39">
        <v>14</v>
      </c>
      <c r="I39">
        <v>84</v>
      </c>
      <c r="J39">
        <v>16.8</v>
      </c>
      <c r="K39">
        <v>8.4</v>
      </c>
      <c r="L39">
        <v>46.2</v>
      </c>
      <c r="M39">
        <v>8.4</v>
      </c>
      <c r="N39">
        <v>12.6</v>
      </c>
      <c r="O39">
        <v>5.8800000000000008</v>
      </c>
      <c r="P39">
        <v>10.92</v>
      </c>
    </row>
    <row r="40" spans="2:16" x14ac:dyDescent="0.25">
      <c r="B40">
        <v>43547</v>
      </c>
      <c r="C40">
        <v>7</v>
      </c>
      <c r="D40" t="str">
        <v>Hend</v>
      </c>
      <c r="E40">
        <v>65</v>
      </c>
      <c r="F40">
        <v>13</v>
      </c>
      <c r="G40">
        <v>35.75</v>
      </c>
      <c r="H40">
        <v>16.25</v>
      </c>
      <c r="I40">
        <v>97.5</v>
      </c>
      <c r="J40">
        <v>19.5</v>
      </c>
      <c r="K40">
        <v>9.75</v>
      </c>
      <c r="L40">
        <v>53.625000000000007</v>
      </c>
      <c r="M40">
        <v>9.75</v>
      </c>
      <c r="N40">
        <v>14.625</v>
      </c>
      <c r="O40">
        <v>6.8250000000000011</v>
      </c>
      <c r="P40">
        <v>12.675000000000001</v>
      </c>
    </row>
    <row r="41" spans="2:16" x14ac:dyDescent="0.25">
      <c r="B41">
        <v>43542</v>
      </c>
      <c r="C41">
        <v>7</v>
      </c>
      <c r="D41" t="str">
        <v>Hend</v>
      </c>
      <c r="E41">
        <v>14</v>
      </c>
      <c r="F41">
        <v>2.8000000000000003</v>
      </c>
      <c r="G41">
        <v>7.7000000000000011</v>
      </c>
      <c r="H41">
        <v>3.5</v>
      </c>
      <c r="I41">
        <v>21</v>
      </c>
      <c r="J41">
        <v>4.2</v>
      </c>
      <c r="K41">
        <v>2.1</v>
      </c>
      <c r="L41">
        <v>11.55</v>
      </c>
      <c r="M41">
        <v>2.1</v>
      </c>
      <c r="N41">
        <v>3.15</v>
      </c>
      <c r="O41">
        <v>1.4700000000000002</v>
      </c>
      <c r="P41">
        <v>2.73</v>
      </c>
    </row>
    <row r="42" spans="2:16" x14ac:dyDescent="0.25">
      <c r="B42">
        <v>43549</v>
      </c>
      <c r="C42">
        <v>7</v>
      </c>
      <c r="D42" t="str">
        <v>Hend</v>
      </c>
      <c r="E42">
        <v>55</v>
      </c>
      <c r="F42">
        <v>11</v>
      </c>
      <c r="G42">
        <v>30.250000000000004</v>
      </c>
      <c r="H42">
        <v>13.75</v>
      </c>
      <c r="I42">
        <v>82.5</v>
      </c>
      <c r="J42">
        <v>16.5</v>
      </c>
      <c r="K42">
        <v>8.25</v>
      </c>
      <c r="L42">
        <v>45.375000000000007</v>
      </c>
      <c r="M42">
        <v>8.25</v>
      </c>
      <c r="N42">
        <v>12.375</v>
      </c>
      <c r="O42">
        <v>5.7750000000000004</v>
      </c>
      <c r="P42">
        <v>10.725</v>
      </c>
    </row>
    <row r="43" spans="2:16" x14ac:dyDescent="0.25">
      <c r="B43">
        <v>43516</v>
      </c>
      <c r="C43">
        <v>7</v>
      </c>
      <c r="D43" t="str">
        <v>Hend</v>
      </c>
      <c r="E43">
        <v>20</v>
      </c>
      <c r="F43">
        <v>4</v>
      </c>
      <c r="G43">
        <v>11</v>
      </c>
      <c r="H43">
        <v>5</v>
      </c>
      <c r="I43">
        <v>30</v>
      </c>
      <c r="J43">
        <v>6</v>
      </c>
      <c r="K43">
        <v>3</v>
      </c>
      <c r="L43">
        <v>16.5</v>
      </c>
      <c r="M43">
        <v>3</v>
      </c>
      <c r="N43">
        <v>4.5</v>
      </c>
      <c r="O43">
        <v>2.1</v>
      </c>
      <c r="P43">
        <v>3.9000000000000004</v>
      </c>
    </row>
    <row r="44" spans="2:16" x14ac:dyDescent="0.25">
      <c r="B44">
        <v>43523</v>
      </c>
      <c r="C44">
        <v>7</v>
      </c>
      <c r="D44" t="str">
        <v>Hend</v>
      </c>
      <c r="E44">
        <v>12</v>
      </c>
      <c r="F44">
        <v>2.4000000000000004</v>
      </c>
      <c r="G44">
        <v>6.6000000000000005</v>
      </c>
      <c r="H44">
        <v>3</v>
      </c>
      <c r="I44">
        <v>18</v>
      </c>
      <c r="J44">
        <v>3.5999999999999996</v>
      </c>
      <c r="K44">
        <v>1.7999999999999998</v>
      </c>
      <c r="L44">
        <v>9.9</v>
      </c>
      <c r="M44">
        <v>1.8</v>
      </c>
      <c r="N44">
        <v>2.6999999999999997</v>
      </c>
      <c r="O44">
        <v>1.2600000000000002</v>
      </c>
      <c r="P44">
        <v>2.34</v>
      </c>
    </row>
    <row r="45" spans="2:16" x14ac:dyDescent="0.25">
      <c r="B45">
        <v>43525</v>
      </c>
      <c r="C45">
        <v>7</v>
      </c>
      <c r="D45" t="str">
        <v>Hend</v>
      </c>
      <c r="E45">
        <v>50</v>
      </c>
      <c r="F45">
        <v>10</v>
      </c>
      <c r="G45">
        <v>27.500000000000004</v>
      </c>
      <c r="H45">
        <v>12.5</v>
      </c>
      <c r="I45">
        <v>75</v>
      </c>
      <c r="J45">
        <v>15</v>
      </c>
      <c r="K45">
        <v>7.5</v>
      </c>
      <c r="L45">
        <v>41.25</v>
      </c>
      <c r="M45">
        <v>7.5</v>
      </c>
      <c r="N45">
        <v>11.25</v>
      </c>
      <c r="O45">
        <v>5.2500000000000009</v>
      </c>
      <c r="P45">
        <v>9.75</v>
      </c>
    </row>
    <row r="46" spans="2:16" x14ac:dyDescent="0.25">
      <c r="B46">
        <v>43528</v>
      </c>
      <c r="C46">
        <v>7</v>
      </c>
      <c r="D46" t="str">
        <v>Hend</v>
      </c>
      <c r="E46">
        <v>65</v>
      </c>
      <c r="F46">
        <v>13</v>
      </c>
      <c r="G46">
        <v>35.75</v>
      </c>
      <c r="H46">
        <v>16.25</v>
      </c>
      <c r="I46">
        <v>97.5</v>
      </c>
      <c r="J46">
        <v>19.5</v>
      </c>
      <c r="K46">
        <v>9.75</v>
      </c>
      <c r="L46">
        <v>53.625000000000007</v>
      </c>
      <c r="M46">
        <v>9.75</v>
      </c>
      <c r="N46">
        <v>14.625</v>
      </c>
      <c r="O46">
        <v>6.8250000000000011</v>
      </c>
      <c r="P46">
        <v>12.675000000000001</v>
      </c>
    </row>
    <row r="47" spans="2:16" x14ac:dyDescent="0.25">
      <c r="B47">
        <v>43543</v>
      </c>
      <c r="C47">
        <v>7</v>
      </c>
      <c r="D47" t="str">
        <v>Hend</v>
      </c>
      <c r="E47">
        <v>23</v>
      </c>
      <c r="F47">
        <v>4.6000000000000005</v>
      </c>
      <c r="G47">
        <v>12.65</v>
      </c>
      <c r="H47">
        <v>5.75</v>
      </c>
      <c r="I47">
        <v>34.5</v>
      </c>
      <c r="J47">
        <v>6.8999999999999995</v>
      </c>
      <c r="K47">
        <v>3.4499999999999997</v>
      </c>
      <c r="L47">
        <v>18.975000000000001</v>
      </c>
      <c r="M47">
        <v>3.45</v>
      </c>
      <c r="N47">
        <v>5.1749999999999998</v>
      </c>
      <c r="O47">
        <v>2.415</v>
      </c>
      <c r="P47">
        <v>4.4850000000000003</v>
      </c>
    </row>
    <row r="48" spans="2:16" x14ac:dyDescent="0.25">
      <c r="B48">
        <v>43537</v>
      </c>
      <c r="C48">
        <v>7</v>
      </c>
      <c r="D48" t="str">
        <v>Hend</v>
      </c>
      <c r="E48">
        <v>47</v>
      </c>
      <c r="F48">
        <v>9.4</v>
      </c>
      <c r="G48">
        <v>25.85</v>
      </c>
      <c r="H48">
        <v>11.75</v>
      </c>
      <c r="I48">
        <v>70.5</v>
      </c>
      <c r="J48">
        <v>14.1</v>
      </c>
      <c r="K48">
        <v>7.05</v>
      </c>
      <c r="L48">
        <v>38.775000000000006</v>
      </c>
      <c r="M48">
        <v>7.0500000000000007</v>
      </c>
      <c r="N48">
        <v>10.574999999999999</v>
      </c>
      <c r="O48">
        <v>4.9350000000000005</v>
      </c>
      <c r="P48">
        <v>9.1650000000000009</v>
      </c>
    </row>
    <row r="49" spans="2:16" x14ac:dyDescent="0.25">
      <c r="B49">
        <v>43544</v>
      </c>
      <c r="C49">
        <v>7</v>
      </c>
      <c r="D49" t="str">
        <v>Hend</v>
      </c>
      <c r="E49">
        <v>60</v>
      </c>
      <c r="F49">
        <v>12</v>
      </c>
      <c r="G49">
        <v>33</v>
      </c>
      <c r="H49">
        <v>15</v>
      </c>
      <c r="I49">
        <v>90</v>
      </c>
      <c r="J49">
        <v>18</v>
      </c>
      <c r="K49">
        <v>9</v>
      </c>
      <c r="L49">
        <v>49.500000000000007</v>
      </c>
      <c r="M49">
        <v>9</v>
      </c>
      <c r="N49">
        <v>13.5</v>
      </c>
      <c r="O49">
        <v>6.3000000000000007</v>
      </c>
      <c r="P49">
        <v>11.700000000000001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2671-DC4B-44E9-BD0B-77F42C571DC3}">
  <dimension ref="A1:P44"/>
  <sheetViews>
    <sheetView workbookViewId="0">
      <selection activeCell="E16" sqref="E16"/>
    </sheetView>
  </sheetViews>
  <sheetFormatPr defaultRowHeight="15" x14ac:dyDescent="0.25"/>
  <sheetData>
    <row r="1" spans="1:5" x14ac:dyDescent="0.25">
      <c r="A1" t="s">
        <v>67</v>
      </c>
    </row>
    <row r="4" spans="1:5" x14ac:dyDescent="0.25">
      <c r="E4" t="s">
        <v>898</v>
      </c>
    </row>
    <row r="5" spans="1:5" x14ac:dyDescent="0.25">
      <c r="E5" s="76">
        <f>SUM(E20:E44)</f>
        <v>1720</v>
      </c>
    </row>
    <row r="9" spans="1:5" x14ac:dyDescent="0.25">
      <c r="E9" t="s">
        <v>899</v>
      </c>
    </row>
    <row r="10" spans="1:5" x14ac:dyDescent="0.25">
      <c r="E10" s="78">
        <f>SUM(F20:F44)</f>
        <v>343.99999999999994</v>
      </c>
    </row>
    <row r="14" spans="1:5" x14ac:dyDescent="0.25">
      <c r="E14" t="s">
        <v>900</v>
      </c>
    </row>
    <row r="15" spans="1:5" x14ac:dyDescent="0.25">
      <c r="E15">
        <f>COUNTIFS(D20:D44,A1)</f>
        <v>25</v>
      </c>
    </row>
    <row r="20" spans="2:16" x14ac:dyDescent="0.25">
      <c r="B20" cm="1">
        <f t="array" ref="B20:P44">_xlfn._xlws.FILTER('9'!A:O,'9'!C:C='Aya '!A1,"not found")</f>
        <v>43465</v>
      </c>
      <c r="C20">
        <v>4</v>
      </c>
      <c r="D20" t="str">
        <v>Aya</v>
      </c>
      <c r="E20">
        <v>30</v>
      </c>
      <c r="F20">
        <v>6</v>
      </c>
      <c r="G20">
        <v>16.5</v>
      </c>
      <c r="H20">
        <v>7.5</v>
      </c>
      <c r="I20">
        <v>45</v>
      </c>
      <c r="J20">
        <v>9</v>
      </c>
      <c r="K20">
        <v>4.5</v>
      </c>
      <c r="L20">
        <v>24.750000000000004</v>
      </c>
      <c r="M20">
        <v>4.5</v>
      </c>
      <c r="N20">
        <v>6.75</v>
      </c>
      <c r="O20">
        <v>3.1500000000000004</v>
      </c>
      <c r="P20">
        <v>5.8500000000000005</v>
      </c>
    </row>
    <row r="21" spans="2:16" x14ac:dyDescent="0.25">
      <c r="B21">
        <v>43468</v>
      </c>
      <c r="C21">
        <v>4</v>
      </c>
      <c r="D21" t="str">
        <v>Aya</v>
      </c>
      <c r="E21">
        <v>20</v>
      </c>
      <c r="F21">
        <v>4</v>
      </c>
      <c r="G21">
        <v>11</v>
      </c>
      <c r="H21">
        <v>5</v>
      </c>
      <c r="I21">
        <v>30</v>
      </c>
      <c r="J21">
        <v>6</v>
      </c>
      <c r="K21">
        <v>3</v>
      </c>
      <c r="L21">
        <v>16.5</v>
      </c>
      <c r="M21">
        <v>3</v>
      </c>
      <c r="N21">
        <v>4.5</v>
      </c>
      <c r="O21">
        <v>2.1</v>
      </c>
      <c r="P21">
        <v>3.9000000000000004</v>
      </c>
    </row>
    <row r="22" spans="2:16" x14ac:dyDescent="0.25">
      <c r="B22">
        <v>43469</v>
      </c>
      <c r="C22">
        <v>4</v>
      </c>
      <c r="D22" t="str">
        <v>Aya</v>
      </c>
      <c r="E22">
        <v>45</v>
      </c>
      <c r="F22">
        <v>9</v>
      </c>
      <c r="G22">
        <v>24.750000000000004</v>
      </c>
      <c r="H22">
        <v>11.25</v>
      </c>
      <c r="I22">
        <v>67.5</v>
      </c>
      <c r="J22">
        <v>13.5</v>
      </c>
      <c r="K22">
        <v>6.75</v>
      </c>
      <c r="L22">
        <v>37.125</v>
      </c>
      <c r="M22">
        <v>6.75</v>
      </c>
      <c r="N22">
        <v>10.125</v>
      </c>
      <c r="O22">
        <v>4.7250000000000005</v>
      </c>
      <c r="P22">
        <v>8.7750000000000004</v>
      </c>
    </row>
    <row r="23" spans="2:16" x14ac:dyDescent="0.25">
      <c r="B23">
        <v>43472</v>
      </c>
      <c r="C23">
        <v>4</v>
      </c>
      <c r="D23" t="str">
        <v>Aya</v>
      </c>
      <c r="E23">
        <v>50</v>
      </c>
      <c r="F23">
        <v>10</v>
      </c>
      <c r="G23">
        <v>27.500000000000004</v>
      </c>
      <c r="H23">
        <v>12.5</v>
      </c>
      <c r="I23">
        <v>75</v>
      </c>
      <c r="J23">
        <v>15</v>
      </c>
      <c r="K23">
        <v>7.5</v>
      </c>
      <c r="L23">
        <v>41.25</v>
      </c>
      <c r="M23">
        <v>7.5</v>
      </c>
      <c r="N23">
        <v>11.25</v>
      </c>
      <c r="O23">
        <v>5.2500000000000009</v>
      </c>
      <c r="P23">
        <v>9.75</v>
      </c>
    </row>
    <row r="24" spans="2:16" x14ac:dyDescent="0.25">
      <c r="B24">
        <v>43479</v>
      </c>
      <c r="C24">
        <v>4</v>
      </c>
      <c r="D24" t="str">
        <v>Aya</v>
      </c>
      <c r="E24">
        <v>65</v>
      </c>
      <c r="F24">
        <v>13</v>
      </c>
      <c r="G24">
        <v>35.75</v>
      </c>
      <c r="H24">
        <v>16.25</v>
      </c>
      <c r="I24">
        <v>97.5</v>
      </c>
      <c r="J24">
        <v>19.5</v>
      </c>
      <c r="K24">
        <v>9.75</v>
      </c>
      <c r="L24">
        <v>53.625000000000007</v>
      </c>
      <c r="M24">
        <v>9.75</v>
      </c>
      <c r="N24">
        <v>14.625</v>
      </c>
      <c r="O24">
        <v>6.8250000000000011</v>
      </c>
      <c r="P24">
        <v>12.675000000000001</v>
      </c>
    </row>
    <row r="25" spans="2:16" x14ac:dyDescent="0.25">
      <c r="B25">
        <v>43480</v>
      </c>
      <c r="C25">
        <v>4</v>
      </c>
      <c r="D25" t="str">
        <v>Aya</v>
      </c>
      <c r="E25">
        <v>63</v>
      </c>
      <c r="F25">
        <v>12.600000000000001</v>
      </c>
      <c r="G25">
        <v>34.650000000000006</v>
      </c>
      <c r="H25">
        <v>15.75</v>
      </c>
      <c r="I25">
        <v>94.5</v>
      </c>
      <c r="J25">
        <v>18.899999999999999</v>
      </c>
      <c r="K25">
        <v>9.4499999999999993</v>
      </c>
      <c r="L25">
        <v>51.975000000000001</v>
      </c>
      <c r="M25">
        <v>9.4500000000000011</v>
      </c>
      <c r="N25">
        <v>14.174999999999999</v>
      </c>
      <c r="O25">
        <v>6.6150000000000002</v>
      </c>
      <c r="P25">
        <v>12.285</v>
      </c>
    </row>
    <row r="26" spans="2:16" x14ac:dyDescent="0.25">
      <c r="B26">
        <v>43482</v>
      </c>
      <c r="C26">
        <v>4</v>
      </c>
      <c r="D26" t="str">
        <v>Aya</v>
      </c>
      <c r="E26">
        <v>60</v>
      </c>
      <c r="F26">
        <v>12</v>
      </c>
      <c r="G26">
        <v>33</v>
      </c>
      <c r="H26">
        <v>15</v>
      </c>
      <c r="I26">
        <v>90</v>
      </c>
      <c r="J26">
        <v>18</v>
      </c>
      <c r="K26">
        <v>9</v>
      </c>
      <c r="L26">
        <v>49.500000000000007</v>
      </c>
      <c r="M26">
        <v>9</v>
      </c>
      <c r="N26">
        <v>13.5</v>
      </c>
      <c r="O26">
        <v>6.3000000000000007</v>
      </c>
      <c r="P26">
        <v>11.700000000000001</v>
      </c>
    </row>
    <row r="27" spans="2:16" x14ac:dyDescent="0.25">
      <c r="B27">
        <v>43483</v>
      </c>
      <c r="C27">
        <v>4</v>
      </c>
      <c r="D27" t="str">
        <v>Aya</v>
      </c>
      <c r="E27">
        <v>50</v>
      </c>
      <c r="F27">
        <v>10</v>
      </c>
      <c r="G27">
        <v>27.500000000000004</v>
      </c>
      <c r="H27">
        <v>12.5</v>
      </c>
      <c r="I27">
        <v>75</v>
      </c>
      <c r="J27">
        <v>15</v>
      </c>
      <c r="K27">
        <v>7.5</v>
      </c>
      <c r="L27">
        <v>41.25</v>
      </c>
      <c r="M27">
        <v>7.5</v>
      </c>
      <c r="N27">
        <v>11.25</v>
      </c>
      <c r="O27">
        <v>5.2500000000000009</v>
      </c>
      <c r="P27">
        <v>9.75</v>
      </c>
    </row>
    <row r="28" spans="2:16" x14ac:dyDescent="0.25">
      <c r="B28">
        <v>43484</v>
      </c>
      <c r="C28">
        <v>4</v>
      </c>
      <c r="D28" t="str">
        <v>Aya</v>
      </c>
      <c r="E28">
        <v>65</v>
      </c>
      <c r="F28">
        <v>13</v>
      </c>
      <c r="G28">
        <v>35.75</v>
      </c>
      <c r="H28">
        <v>16.25</v>
      </c>
      <c r="I28">
        <v>97.5</v>
      </c>
      <c r="J28">
        <v>19.5</v>
      </c>
      <c r="K28">
        <v>9.75</v>
      </c>
      <c r="L28">
        <v>53.625000000000007</v>
      </c>
      <c r="M28">
        <v>9.75</v>
      </c>
      <c r="N28">
        <v>14.625</v>
      </c>
      <c r="O28">
        <v>6.8250000000000011</v>
      </c>
      <c r="P28">
        <v>12.675000000000001</v>
      </c>
    </row>
    <row r="29" spans="2:16" x14ac:dyDescent="0.25">
      <c r="B29">
        <v>43476</v>
      </c>
      <c r="C29">
        <v>4</v>
      </c>
      <c r="D29" t="str">
        <v>Aya</v>
      </c>
      <c r="E29">
        <v>33</v>
      </c>
      <c r="F29">
        <v>6.6000000000000005</v>
      </c>
      <c r="G29">
        <v>18.150000000000002</v>
      </c>
      <c r="H29">
        <v>8.25</v>
      </c>
      <c r="I29">
        <v>49.5</v>
      </c>
      <c r="J29">
        <v>9.9</v>
      </c>
      <c r="K29">
        <v>4.95</v>
      </c>
      <c r="L29">
        <v>27.225000000000001</v>
      </c>
      <c r="M29">
        <v>4.95</v>
      </c>
      <c r="N29">
        <v>7.4249999999999998</v>
      </c>
      <c r="O29">
        <v>3.4650000000000003</v>
      </c>
      <c r="P29">
        <v>6.4350000000000005</v>
      </c>
    </row>
    <row r="30" spans="2:16" x14ac:dyDescent="0.25">
      <c r="B30">
        <v>43486</v>
      </c>
      <c r="C30">
        <v>4</v>
      </c>
      <c r="D30" t="str">
        <v>Aya</v>
      </c>
      <c r="E30">
        <v>50</v>
      </c>
      <c r="F30">
        <v>10</v>
      </c>
      <c r="G30">
        <v>27.500000000000004</v>
      </c>
      <c r="H30">
        <v>12.5</v>
      </c>
      <c r="I30">
        <v>75</v>
      </c>
      <c r="J30">
        <v>15</v>
      </c>
      <c r="K30">
        <v>7.5</v>
      </c>
      <c r="L30">
        <v>41.25</v>
      </c>
      <c r="M30">
        <v>7.5</v>
      </c>
      <c r="N30">
        <v>11.25</v>
      </c>
      <c r="O30">
        <v>5.2500000000000009</v>
      </c>
      <c r="P30">
        <v>9.75</v>
      </c>
    </row>
    <row r="31" spans="2:16" x14ac:dyDescent="0.25">
      <c r="B31">
        <v>43500</v>
      </c>
      <c r="C31">
        <v>4</v>
      </c>
      <c r="D31" t="str">
        <v>Aya</v>
      </c>
      <c r="E31">
        <v>60</v>
      </c>
      <c r="F31">
        <v>12</v>
      </c>
      <c r="G31">
        <v>33</v>
      </c>
      <c r="H31">
        <v>15</v>
      </c>
      <c r="I31">
        <v>90</v>
      </c>
      <c r="J31">
        <v>18</v>
      </c>
      <c r="K31">
        <v>9</v>
      </c>
      <c r="L31">
        <v>49.500000000000007</v>
      </c>
      <c r="M31">
        <v>9</v>
      </c>
      <c r="N31">
        <v>13.5</v>
      </c>
      <c r="O31">
        <v>6.3000000000000007</v>
      </c>
      <c r="P31">
        <v>11.700000000000001</v>
      </c>
    </row>
    <row r="32" spans="2:16" x14ac:dyDescent="0.25">
      <c r="B32">
        <v>43502</v>
      </c>
      <c r="C32">
        <v>4</v>
      </c>
      <c r="D32" t="str">
        <v>Aya</v>
      </c>
      <c r="E32">
        <v>45</v>
      </c>
      <c r="F32">
        <v>9</v>
      </c>
      <c r="G32">
        <v>24.750000000000004</v>
      </c>
      <c r="H32">
        <v>11.25</v>
      </c>
      <c r="I32">
        <v>67.5</v>
      </c>
      <c r="J32">
        <v>13.5</v>
      </c>
      <c r="K32">
        <v>6.75</v>
      </c>
      <c r="L32">
        <v>37.125</v>
      </c>
      <c r="M32">
        <v>6.75</v>
      </c>
      <c r="N32">
        <v>10.125</v>
      </c>
      <c r="O32">
        <v>4.7250000000000005</v>
      </c>
      <c r="P32">
        <v>8.7750000000000004</v>
      </c>
    </row>
    <row r="33" spans="2:16" x14ac:dyDescent="0.25">
      <c r="B33">
        <v>43496</v>
      </c>
      <c r="C33">
        <v>4</v>
      </c>
      <c r="D33" t="str">
        <v>Aya</v>
      </c>
      <c r="E33">
        <v>40</v>
      </c>
      <c r="F33">
        <v>8</v>
      </c>
      <c r="G33">
        <v>22</v>
      </c>
      <c r="H33">
        <v>10</v>
      </c>
      <c r="I33">
        <v>60</v>
      </c>
      <c r="J33">
        <v>12</v>
      </c>
      <c r="K33">
        <v>6</v>
      </c>
      <c r="L33">
        <v>33</v>
      </c>
      <c r="M33">
        <v>6</v>
      </c>
      <c r="N33">
        <v>9</v>
      </c>
      <c r="O33">
        <v>4.2</v>
      </c>
      <c r="P33">
        <v>7.8000000000000007</v>
      </c>
    </row>
    <row r="34" spans="2:16" x14ac:dyDescent="0.25">
      <c r="B34">
        <v>43502</v>
      </c>
      <c r="C34">
        <v>4</v>
      </c>
      <c r="D34" t="str">
        <v>Aya</v>
      </c>
      <c r="E34">
        <v>635</v>
      </c>
      <c r="F34">
        <v>127</v>
      </c>
      <c r="G34">
        <v>349.25</v>
      </c>
      <c r="H34">
        <v>158.75</v>
      </c>
      <c r="I34">
        <v>952.5</v>
      </c>
      <c r="J34">
        <v>190.5</v>
      </c>
      <c r="K34">
        <v>95.25</v>
      </c>
      <c r="L34">
        <v>523.875</v>
      </c>
      <c r="M34">
        <v>95.25</v>
      </c>
      <c r="N34">
        <v>142.875</v>
      </c>
      <c r="O34">
        <v>66.675000000000011</v>
      </c>
      <c r="P34">
        <v>123.825</v>
      </c>
    </row>
    <row r="35" spans="2:16" x14ac:dyDescent="0.25">
      <c r="B35">
        <v>43517</v>
      </c>
      <c r="C35">
        <v>4</v>
      </c>
      <c r="D35" t="str">
        <v>Aya</v>
      </c>
      <c r="E35">
        <v>65</v>
      </c>
      <c r="F35">
        <v>13</v>
      </c>
      <c r="G35">
        <v>35.75</v>
      </c>
      <c r="H35">
        <v>16.25</v>
      </c>
      <c r="I35">
        <v>97.5</v>
      </c>
      <c r="J35">
        <v>19.5</v>
      </c>
      <c r="K35">
        <v>9.75</v>
      </c>
      <c r="L35">
        <v>53.625000000000007</v>
      </c>
      <c r="M35">
        <v>9.75</v>
      </c>
      <c r="N35">
        <v>14.625</v>
      </c>
      <c r="O35">
        <v>6.8250000000000011</v>
      </c>
      <c r="P35">
        <v>12.675000000000001</v>
      </c>
    </row>
    <row r="36" spans="2:16" x14ac:dyDescent="0.25">
      <c r="B36">
        <v>43503</v>
      </c>
      <c r="C36">
        <v>4</v>
      </c>
      <c r="D36" t="str">
        <v>Aya</v>
      </c>
      <c r="E36">
        <v>54</v>
      </c>
      <c r="F36">
        <v>10.8</v>
      </c>
      <c r="G36">
        <v>29.700000000000003</v>
      </c>
      <c r="H36">
        <v>13.5</v>
      </c>
      <c r="I36">
        <v>81</v>
      </c>
      <c r="J36">
        <v>16.2</v>
      </c>
      <c r="K36">
        <v>8.1</v>
      </c>
      <c r="L36">
        <v>44.550000000000004</v>
      </c>
      <c r="M36">
        <v>8.1</v>
      </c>
      <c r="N36">
        <v>12.15</v>
      </c>
      <c r="O36">
        <v>5.6700000000000008</v>
      </c>
      <c r="P36">
        <v>10.530000000000001</v>
      </c>
    </row>
    <row r="37" spans="2:16" x14ac:dyDescent="0.25">
      <c r="B37">
        <v>43524</v>
      </c>
      <c r="C37">
        <v>4</v>
      </c>
      <c r="D37" t="str">
        <v>Aya</v>
      </c>
      <c r="E37">
        <v>52</v>
      </c>
      <c r="F37">
        <v>10.4</v>
      </c>
      <c r="G37">
        <v>28.6</v>
      </c>
      <c r="H37">
        <v>13</v>
      </c>
      <c r="I37">
        <v>78</v>
      </c>
      <c r="J37">
        <v>15.6</v>
      </c>
      <c r="K37">
        <v>7.8</v>
      </c>
      <c r="L37">
        <v>42.900000000000006</v>
      </c>
      <c r="M37">
        <v>7.8000000000000007</v>
      </c>
      <c r="N37">
        <v>11.7</v>
      </c>
      <c r="O37">
        <v>5.4600000000000009</v>
      </c>
      <c r="P37">
        <v>10.14</v>
      </c>
    </row>
    <row r="38" spans="2:16" x14ac:dyDescent="0.25">
      <c r="B38">
        <v>43529</v>
      </c>
      <c r="C38">
        <v>4</v>
      </c>
      <c r="D38" t="str">
        <v>Aya</v>
      </c>
      <c r="E38">
        <v>56</v>
      </c>
      <c r="F38">
        <v>11.200000000000001</v>
      </c>
      <c r="G38">
        <v>30.800000000000004</v>
      </c>
      <c r="H38">
        <v>14</v>
      </c>
      <c r="I38">
        <v>84</v>
      </c>
      <c r="J38">
        <v>16.8</v>
      </c>
      <c r="K38">
        <v>8.4</v>
      </c>
      <c r="L38">
        <v>46.2</v>
      </c>
      <c r="M38">
        <v>8.4</v>
      </c>
      <c r="N38">
        <v>12.6</v>
      </c>
      <c r="O38">
        <v>5.8800000000000008</v>
      </c>
      <c r="P38">
        <v>10.92</v>
      </c>
    </row>
    <row r="39" spans="2:16" x14ac:dyDescent="0.25">
      <c r="B39">
        <v>43535</v>
      </c>
      <c r="C39">
        <v>4</v>
      </c>
      <c r="D39" t="str">
        <v>Aya</v>
      </c>
      <c r="E39">
        <v>20</v>
      </c>
      <c r="F39">
        <v>4</v>
      </c>
      <c r="G39">
        <v>11</v>
      </c>
      <c r="H39">
        <v>5</v>
      </c>
      <c r="I39">
        <v>30</v>
      </c>
      <c r="J39">
        <v>6</v>
      </c>
      <c r="K39">
        <v>3</v>
      </c>
      <c r="L39">
        <v>16.5</v>
      </c>
      <c r="M39">
        <v>3</v>
      </c>
      <c r="N39">
        <v>4.5</v>
      </c>
      <c r="O39">
        <v>2.1</v>
      </c>
      <c r="P39">
        <v>3.9000000000000004</v>
      </c>
    </row>
    <row r="40" spans="2:16" x14ac:dyDescent="0.25">
      <c r="B40">
        <v>43536</v>
      </c>
      <c r="C40">
        <v>4</v>
      </c>
      <c r="D40" t="str">
        <v>Aya</v>
      </c>
      <c r="E40">
        <v>22</v>
      </c>
      <c r="F40">
        <v>4.4000000000000004</v>
      </c>
      <c r="G40">
        <v>12.100000000000001</v>
      </c>
      <c r="H40">
        <v>5.5</v>
      </c>
      <c r="I40">
        <v>33</v>
      </c>
      <c r="J40">
        <v>6.6</v>
      </c>
      <c r="K40">
        <v>3.3</v>
      </c>
      <c r="L40">
        <v>18.150000000000002</v>
      </c>
      <c r="M40">
        <v>3.3000000000000003</v>
      </c>
      <c r="N40">
        <v>4.95</v>
      </c>
      <c r="O40">
        <v>2.31</v>
      </c>
      <c r="P40">
        <v>4.29</v>
      </c>
    </row>
    <row r="41" spans="2:16" x14ac:dyDescent="0.25">
      <c r="B41">
        <v>43511</v>
      </c>
      <c r="C41">
        <v>4</v>
      </c>
      <c r="D41" t="str">
        <v>Aya</v>
      </c>
      <c r="E41">
        <v>65</v>
      </c>
      <c r="F41">
        <v>13</v>
      </c>
      <c r="G41">
        <v>35.75</v>
      </c>
      <c r="H41">
        <v>16.25</v>
      </c>
      <c r="I41">
        <v>97.5</v>
      </c>
      <c r="J41">
        <v>19.5</v>
      </c>
      <c r="K41">
        <v>9.75</v>
      </c>
      <c r="L41">
        <v>53.625000000000007</v>
      </c>
      <c r="M41">
        <v>9.75</v>
      </c>
      <c r="N41">
        <v>14.625</v>
      </c>
      <c r="O41">
        <v>6.8250000000000011</v>
      </c>
      <c r="P41">
        <v>12.675000000000001</v>
      </c>
    </row>
    <row r="42" spans="2:16" x14ac:dyDescent="0.25">
      <c r="B42">
        <v>43507</v>
      </c>
      <c r="C42">
        <v>4</v>
      </c>
      <c r="D42" t="str">
        <v>Aya</v>
      </c>
      <c r="E42">
        <v>10</v>
      </c>
      <c r="F42">
        <v>2</v>
      </c>
      <c r="G42">
        <v>5.5</v>
      </c>
      <c r="H42">
        <v>2.5</v>
      </c>
      <c r="I42">
        <v>15</v>
      </c>
      <c r="J42">
        <v>3</v>
      </c>
      <c r="K42">
        <v>1.5</v>
      </c>
      <c r="L42">
        <v>8.25</v>
      </c>
      <c r="M42">
        <v>1.5</v>
      </c>
      <c r="N42">
        <v>2.25</v>
      </c>
      <c r="O42">
        <v>1.05</v>
      </c>
      <c r="P42">
        <v>1.9500000000000002</v>
      </c>
    </row>
    <row r="43" spans="2:16" x14ac:dyDescent="0.25">
      <c r="B43">
        <v>43512</v>
      </c>
      <c r="C43">
        <v>4</v>
      </c>
      <c r="D43" t="str">
        <v>Aya</v>
      </c>
      <c r="E43">
        <v>15</v>
      </c>
      <c r="F43">
        <v>3</v>
      </c>
      <c r="G43">
        <v>8.25</v>
      </c>
      <c r="H43">
        <v>3.75</v>
      </c>
      <c r="I43">
        <v>22.5</v>
      </c>
      <c r="J43">
        <v>4.5</v>
      </c>
      <c r="K43">
        <v>2.25</v>
      </c>
      <c r="L43">
        <v>12.375000000000002</v>
      </c>
      <c r="M43">
        <v>2.25</v>
      </c>
      <c r="N43">
        <v>3.375</v>
      </c>
      <c r="O43">
        <v>1.5750000000000002</v>
      </c>
      <c r="P43">
        <v>2.9250000000000003</v>
      </c>
    </row>
    <row r="44" spans="2:16" x14ac:dyDescent="0.25">
      <c r="B44">
        <v>43514</v>
      </c>
      <c r="C44">
        <v>4</v>
      </c>
      <c r="D44" t="str">
        <v>Aya</v>
      </c>
      <c r="E44">
        <v>50</v>
      </c>
      <c r="F44">
        <v>10</v>
      </c>
      <c r="G44">
        <v>27.500000000000004</v>
      </c>
      <c r="H44">
        <v>12.5</v>
      </c>
      <c r="I44">
        <v>75</v>
      </c>
      <c r="J44">
        <v>15</v>
      </c>
      <c r="K44">
        <v>7.5</v>
      </c>
      <c r="L44">
        <v>41.25</v>
      </c>
      <c r="M44">
        <v>7.5</v>
      </c>
      <c r="N44">
        <v>11.25</v>
      </c>
      <c r="O44">
        <v>5.2500000000000009</v>
      </c>
      <c r="P44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Task 2</vt:lpstr>
      <vt:lpstr>Task 3</vt:lpstr>
      <vt:lpstr>Task 4</vt:lpstr>
      <vt:lpstr>Task 6</vt:lpstr>
      <vt:lpstr>Task 7</vt:lpstr>
      <vt:lpstr>Task 8</vt:lpstr>
      <vt:lpstr>pivot table</vt:lpstr>
      <vt:lpstr>9</vt:lpstr>
      <vt:lpstr>10</vt:lpstr>
      <vt:lpstr>12</vt:lpstr>
      <vt:lpstr>13</vt:lpstr>
      <vt:lpstr>Hend</vt:lpstr>
      <vt:lpstr>Aya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Eng / hamada ahmed</cp:lastModifiedBy>
  <dcterms:created xsi:type="dcterms:W3CDTF">2015-06-05T18:17:20Z</dcterms:created>
  <dcterms:modified xsi:type="dcterms:W3CDTF">2026-07-24T17:25:51Z</dcterms:modified>
</cp:coreProperties>
</file>